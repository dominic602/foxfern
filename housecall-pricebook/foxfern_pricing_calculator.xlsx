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or Rates" sheetId="1" state="visible" r:id="rId1"/>
    <sheet xmlns:r="http://schemas.openxmlformats.org/officeDocument/2006/relationships" name="Job Estimator" sheetId="2" state="visible" r:id="rId2"/>
  </sheets>
  <definedNames>
    <definedName name="PM_Pay">'Labor Rates'!$B$3</definedName>
    <definedName name="PM_Burden">'Labor Rates'!$B$4</definedName>
    <definedName name="PM_Hours">'Labor Rates'!$B$5</definedName>
    <definedName name="Min_GP">'Labor Rates'!$B$6</definedName>
    <definedName name="RES_Mat">'Labor Rates'!$B$7</definedName>
    <definedName name="COM_Mat">'Labor Rates'!$B$8</definedName>
    <definedName name="Net30">'Labor Rates'!$B$9</definedName>
    <definedName name="PM_Hourly">'Labor Rates'!$B$10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4F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9" fontId="0" fillId="2" borderId="0" pivotButton="0" quotePrefix="0" xfId="0"/>
    <xf numFmtId="1" fontId="0" fillId="2" borderId="0" pivotButton="0" quotePrefix="0" xfId="0"/>
    <xf numFmtId="2" fontId="0" fillId="2" borderId="0" pivotButton="0" quotePrefix="0" xfId="0"/>
    <xf numFmtId="164" fontId="0" fillId="0" borderId="0" pivotButton="0" quotePrefix="0" xfId="0"/>
    <xf numFmtId="0" fontId="2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2" customWidth="1" min="3" max="3"/>
    <col width="13" customWidth="1" min="4" max="4"/>
    <col width="14" customWidth="1" min="5" max="5"/>
    <col width="9" customWidth="1" min="6" max="6"/>
    <col width="14" customWidth="1" min="7" max="7"/>
    <col width="14" customWidth="1" min="8" max="8"/>
    <col width="12" customWidth="1" min="9" max="9"/>
  </cols>
  <sheetData>
    <row r="1">
      <c r="A1" s="1" t="inlineStr">
        <is>
          <t>Fox &amp; Fern - Labor Rates (yellow cells are editable)</t>
        </is>
      </c>
    </row>
    <row r="3">
      <c r="A3" t="inlineStr">
        <is>
          <t>PM weekly pay</t>
        </is>
      </c>
      <c r="B3" s="2" t="n">
        <v>1000</v>
      </c>
    </row>
    <row r="4">
      <c r="A4" t="inlineStr">
        <is>
          <t>PM payroll burden %</t>
        </is>
      </c>
      <c r="B4" s="3" t="n">
        <v>0.25</v>
      </c>
    </row>
    <row r="5">
      <c r="A5" t="inlineStr">
        <is>
          <t>PM hours per week</t>
        </is>
      </c>
      <c r="B5" s="4" t="n">
        <v>40</v>
      </c>
    </row>
    <row r="6">
      <c r="A6" t="inlineStr">
        <is>
          <t>Minimum gross profit %</t>
        </is>
      </c>
      <c r="B6" s="3" t="n">
        <v>0.33</v>
      </c>
    </row>
    <row r="7">
      <c r="A7" t="inlineStr">
        <is>
          <t>Residential material markup (x)</t>
        </is>
      </c>
      <c r="B7" s="5" t="n">
        <v>1.5</v>
      </c>
    </row>
    <row r="8">
      <c r="A8" t="inlineStr">
        <is>
          <t>Commercial material markup (x)</t>
        </is>
      </c>
      <c r="B8" s="5" t="n">
        <v>2</v>
      </c>
    </row>
    <row r="9">
      <c r="A9" t="inlineStr">
        <is>
          <t>Net 30 adjustment %</t>
        </is>
      </c>
      <c r="B9" s="3" t="n">
        <v>0.05</v>
      </c>
    </row>
    <row r="10">
      <c r="A10" t="inlineStr">
        <is>
          <t>PM loaded cost / hr</t>
        </is>
      </c>
      <c r="B10" s="6">
        <f>PM_Pay*(1+PM_Burden)/PM_Hours</f>
        <v/>
      </c>
    </row>
    <row r="12">
      <c r="A12" s="7" t="inlineStr">
        <is>
          <t>Labor line</t>
        </is>
      </c>
      <c r="B12" s="7" t="inlineStr">
        <is>
          <t>Sub cost / hr</t>
        </is>
      </c>
      <c r="C12" s="7" t="inlineStr">
        <is>
          <t>PM hrs per field hr</t>
        </is>
      </c>
      <c r="D12" s="7" t="inlineStr">
        <is>
          <t>Sell rate / hr</t>
        </is>
      </c>
      <c r="E12" s="7" t="inlineStr">
        <is>
          <t>Loaded cost / hr</t>
        </is>
      </c>
      <c r="F12" s="7" t="inlineStr">
        <is>
          <t>GP %</t>
        </is>
      </c>
      <c r="G12" s="7" t="inlineStr">
        <is>
          <t>Min rate for GP</t>
        </is>
      </c>
      <c r="H12" s="7" t="inlineStr">
        <is>
          <t>Day rate (8 hrs)</t>
        </is>
      </c>
      <c r="I12" s="7" t="inlineStr">
        <is>
          <t>Check</t>
        </is>
      </c>
    </row>
    <row r="13">
      <c r="A13" t="inlineStr">
        <is>
          <t>Residential Interior Remodeling Labor</t>
        </is>
      </c>
      <c r="B13" s="2" t="n">
        <v>60</v>
      </c>
      <c r="C13" s="5" t="n">
        <v>0.25</v>
      </c>
      <c r="D13" s="2" t="n">
        <v>115</v>
      </c>
      <c r="E13" s="6">
        <f>B13+PM_Hourly*C13</f>
        <v/>
      </c>
      <c r="F13" s="8">
        <f>(D13-E13)/D13</f>
        <v/>
      </c>
      <c r="G13" s="6">
        <f>E13/(1-Min_GP)</f>
        <v/>
      </c>
      <c r="H13" s="9">
        <f>D13*8</f>
        <v/>
      </c>
      <c r="I13">
        <f>IF(F13&lt;Min_GP,"RAISE RATE","OK")</f>
        <v/>
      </c>
    </row>
    <row r="14">
      <c r="A14" t="inlineStr">
        <is>
          <t>Residential Exterior Remodeling Labor</t>
        </is>
      </c>
      <c r="B14" s="2" t="n">
        <v>63</v>
      </c>
      <c r="C14" s="5" t="n">
        <v>0.25</v>
      </c>
      <c r="D14" s="2" t="n">
        <v>120</v>
      </c>
      <c r="E14" s="6">
        <f>B14+PM_Hourly*C14</f>
        <v/>
      </c>
      <c r="F14" s="8">
        <f>(D14-E14)/D14</f>
        <v/>
      </c>
      <c r="G14" s="6">
        <f>E14/(1-Min_GP)</f>
        <v/>
      </c>
      <c r="H14" s="9">
        <f>D14*8</f>
        <v/>
      </c>
      <c r="I14">
        <f>IF(F14&lt;Min_GP,"RAISE RATE","OK")</f>
        <v/>
      </c>
    </row>
    <row r="15">
      <c r="A15" t="inlineStr">
        <is>
          <t>Residential Handyman Labor</t>
        </is>
      </c>
      <c r="B15" s="2" t="n">
        <v>55</v>
      </c>
      <c r="C15" s="5" t="n">
        <v>0.1</v>
      </c>
      <c r="D15" s="2" t="n">
        <v>115</v>
      </c>
      <c r="E15" s="6">
        <f>B15+PM_Hourly*C15</f>
        <v/>
      </c>
      <c r="F15" s="8">
        <f>(D15-E15)/D15</f>
        <v/>
      </c>
      <c r="G15" s="6">
        <f>E15/(1-Min_GP)</f>
        <v/>
      </c>
      <c r="H15" s="9">
        <f>D15*8</f>
        <v/>
      </c>
      <c r="I15">
        <f>IF(F15&lt;Min_GP,"RAISE RATE","OK")</f>
        <v/>
      </c>
    </row>
    <row r="16">
      <c r="A16" t="inlineStr">
        <is>
          <t>Residential Concrete &amp; Hardscape Labor</t>
        </is>
      </c>
      <c r="B16" s="2" t="n">
        <v>70</v>
      </c>
      <c r="C16" s="5" t="n">
        <v>0.25</v>
      </c>
      <c r="D16" s="2" t="n">
        <v>130</v>
      </c>
      <c r="E16" s="6">
        <f>B16+PM_Hourly*C16</f>
        <v/>
      </c>
      <c r="F16" s="8">
        <f>(D16-E16)/D16</f>
        <v/>
      </c>
      <c r="G16" s="6">
        <f>E16/(1-Min_GP)</f>
        <v/>
      </c>
      <c r="H16" s="9">
        <f>D16*8</f>
        <v/>
      </c>
      <c r="I16">
        <f>IF(F16&lt;Min_GP,"RAISE RATE","OK")</f>
        <v/>
      </c>
    </row>
    <row r="17">
      <c r="A17" t="inlineStr">
        <is>
          <t>Residential Demolition &amp; Haul-Away Labor</t>
        </is>
      </c>
      <c r="B17" s="2" t="n">
        <v>48</v>
      </c>
      <c r="C17" s="5" t="n">
        <v>0.25</v>
      </c>
      <c r="D17" s="2" t="n">
        <v>95</v>
      </c>
      <c r="E17" s="6">
        <f>B17+PM_Hourly*C17</f>
        <v/>
      </c>
      <c r="F17" s="8">
        <f>(D17-E17)/D17</f>
        <v/>
      </c>
      <c r="G17" s="6">
        <f>E17/(1-Min_GP)</f>
        <v/>
      </c>
      <c r="H17" s="9">
        <f>D17*8</f>
        <v/>
      </c>
      <c r="I17">
        <f>IF(F17&lt;Min_GP,"RAISE RATE","OK")</f>
        <v/>
      </c>
    </row>
    <row r="18">
      <c r="A18" t="inlineStr">
        <is>
          <t>Commercial Interior Remodeling Labor</t>
        </is>
      </c>
      <c r="B18" s="2" t="n">
        <v>65</v>
      </c>
      <c r="C18" s="5" t="n">
        <v>0.3</v>
      </c>
      <c r="D18" s="2" t="n">
        <v>150</v>
      </c>
      <c r="E18" s="6">
        <f>B18+PM_Hourly*C18</f>
        <v/>
      </c>
      <c r="F18" s="8">
        <f>(D18-E18)/D18</f>
        <v/>
      </c>
      <c r="G18" s="6">
        <f>E18/(1-Min_GP)</f>
        <v/>
      </c>
      <c r="H18" s="9">
        <f>D18*8</f>
        <v/>
      </c>
      <c r="I18">
        <f>IF(F18&lt;Min_GP,"RAISE RATE","OK")</f>
        <v/>
      </c>
    </row>
    <row r="19">
      <c r="A19" t="inlineStr">
        <is>
          <t>Commercial Exterior Remodeling Labor</t>
        </is>
      </c>
      <c r="B19" s="2" t="n">
        <v>68</v>
      </c>
      <c r="C19" s="5" t="n">
        <v>0.3</v>
      </c>
      <c r="D19" s="2" t="n">
        <v>155</v>
      </c>
      <c r="E19" s="6">
        <f>B19+PM_Hourly*C19</f>
        <v/>
      </c>
      <c r="F19" s="8">
        <f>(D19-E19)/D19</f>
        <v/>
      </c>
      <c r="G19" s="6">
        <f>E19/(1-Min_GP)</f>
        <v/>
      </c>
      <c r="H19" s="9">
        <f>D19*8</f>
        <v/>
      </c>
      <c r="I19">
        <f>IF(F19&lt;Min_GP,"RAISE RATE","OK")</f>
        <v/>
      </c>
    </row>
    <row r="20">
      <c r="A20" t="inlineStr">
        <is>
          <t>Commercial Handyman / Facility Maintenance Labor</t>
        </is>
      </c>
      <c r="B20" s="2" t="n">
        <v>60</v>
      </c>
      <c r="C20" s="5" t="n">
        <v>0.3</v>
      </c>
      <c r="D20" s="2" t="n">
        <v>140</v>
      </c>
      <c r="E20" s="6">
        <f>B20+PM_Hourly*C20</f>
        <v/>
      </c>
      <c r="F20" s="8">
        <f>(D20-E20)/D20</f>
        <v/>
      </c>
      <c r="G20" s="6">
        <f>E20/(1-Min_GP)</f>
        <v/>
      </c>
      <c r="H20" s="9">
        <f>D20*8</f>
        <v/>
      </c>
      <c r="I20">
        <f>IF(F20&lt;Min_GP,"RAISE RATE","OK")</f>
        <v/>
      </c>
    </row>
    <row r="21">
      <c r="A21" t="inlineStr">
        <is>
          <t>Commercial Concrete &amp; Hardscape Labor</t>
        </is>
      </c>
      <c r="B21" s="2" t="n">
        <v>75</v>
      </c>
      <c r="C21" s="5" t="n">
        <v>0.3</v>
      </c>
      <c r="D21" s="2" t="n">
        <v>165</v>
      </c>
      <c r="E21" s="6">
        <f>B21+PM_Hourly*C21</f>
        <v/>
      </c>
      <c r="F21" s="8">
        <f>(D21-E21)/D21</f>
        <v/>
      </c>
      <c r="G21" s="6">
        <f>E21/(1-Min_GP)</f>
        <v/>
      </c>
      <c r="H21" s="9">
        <f>D21*8</f>
        <v/>
      </c>
      <c r="I21">
        <f>IF(F21&lt;Min_GP,"RAISE RATE","OK")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Job Estimator - enter labor hours and material cost</t>
        </is>
      </c>
    </row>
    <row r="3">
      <c r="A3" s="7" t="inlineStr">
        <is>
          <t>Labor line</t>
        </is>
      </c>
      <c r="B3" s="7" t="inlineStr">
        <is>
          <t>Hours</t>
        </is>
      </c>
      <c r="C3" s="7" t="inlineStr">
        <is>
          <t>Price</t>
        </is>
      </c>
      <c r="D3" s="7" t="inlineStr">
        <is>
          <t>Cost</t>
        </is>
      </c>
    </row>
    <row r="4">
      <c r="A4" t="inlineStr">
        <is>
          <t>Residential Interior Remodeling Labor</t>
        </is>
      </c>
      <c r="B4" s="10" t="n">
        <v>0</v>
      </c>
      <c r="C4" s="9">
        <f>B4*'Labor Rates'!D13</f>
        <v/>
      </c>
      <c r="D4" s="9">
        <f>B4*'Labor Rates'!E13</f>
        <v/>
      </c>
    </row>
    <row r="5">
      <c r="A5" t="inlineStr">
        <is>
          <t>Residential Exterior Remodeling Labor</t>
        </is>
      </c>
      <c r="B5" s="10" t="n">
        <v>0</v>
      </c>
      <c r="C5" s="9">
        <f>B5*'Labor Rates'!D14</f>
        <v/>
      </c>
      <c r="D5" s="9">
        <f>B5*'Labor Rates'!E14</f>
        <v/>
      </c>
    </row>
    <row r="6">
      <c r="A6" t="inlineStr">
        <is>
          <t>Residential Handyman Labor</t>
        </is>
      </c>
      <c r="B6" s="10" t="n">
        <v>0</v>
      </c>
      <c r="C6" s="9">
        <f>B6*'Labor Rates'!D15</f>
        <v/>
      </c>
      <c r="D6" s="9">
        <f>B6*'Labor Rates'!E15</f>
        <v/>
      </c>
    </row>
    <row r="7">
      <c r="A7" t="inlineStr">
        <is>
          <t>Residential Concrete &amp; Hardscape Labor</t>
        </is>
      </c>
      <c r="B7" s="10" t="n">
        <v>0</v>
      </c>
      <c r="C7" s="9">
        <f>B7*'Labor Rates'!D16</f>
        <v/>
      </c>
      <c r="D7" s="9">
        <f>B7*'Labor Rates'!E16</f>
        <v/>
      </c>
    </row>
    <row r="8">
      <c r="A8" t="inlineStr">
        <is>
          <t>Residential Demolition &amp; Haul-Away Labor</t>
        </is>
      </c>
      <c r="B8" s="10" t="n">
        <v>0</v>
      </c>
      <c r="C8" s="9">
        <f>B8*'Labor Rates'!D17</f>
        <v/>
      </c>
      <c r="D8" s="9">
        <f>B8*'Labor Rates'!E17</f>
        <v/>
      </c>
    </row>
    <row r="9">
      <c r="A9" t="inlineStr">
        <is>
          <t>Commercial Interior Remodeling Labor</t>
        </is>
      </c>
      <c r="B9" s="10" t="n">
        <v>0</v>
      </c>
      <c r="C9" s="9">
        <f>B9*'Labor Rates'!D18</f>
        <v/>
      </c>
      <c r="D9" s="9">
        <f>B9*'Labor Rates'!E18</f>
        <v/>
      </c>
    </row>
    <row r="10">
      <c r="A10" t="inlineStr">
        <is>
          <t>Commercial Exterior Remodeling Labor</t>
        </is>
      </c>
      <c r="B10" s="10" t="n">
        <v>0</v>
      </c>
      <c r="C10" s="9">
        <f>B10*'Labor Rates'!D19</f>
        <v/>
      </c>
      <c r="D10" s="9">
        <f>B10*'Labor Rates'!E19</f>
        <v/>
      </c>
    </row>
    <row r="11">
      <c r="A11" t="inlineStr">
        <is>
          <t>Commercial Handyman / Facility Maintenance Labor</t>
        </is>
      </c>
      <c r="B11" s="10" t="n">
        <v>0</v>
      </c>
      <c r="C11" s="9">
        <f>B11*'Labor Rates'!D20</f>
        <v/>
      </c>
      <c r="D11" s="9">
        <f>B11*'Labor Rates'!E20</f>
        <v/>
      </c>
    </row>
    <row r="12">
      <c r="A12" t="inlineStr">
        <is>
          <t>Commercial Concrete &amp; Hardscape Labor</t>
        </is>
      </c>
      <c r="B12" s="10" t="n">
        <v>0</v>
      </c>
      <c r="C12" s="9">
        <f>B12*'Labor Rates'!D21</f>
        <v/>
      </c>
      <c r="D12" s="9">
        <f>B12*'Labor Rates'!E21</f>
        <v/>
      </c>
    </row>
    <row r="14">
      <c r="A14" t="inlineStr">
        <is>
          <t>Commercial job? (Y/N)</t>
        </is>
      </c>
      <c r="B14" s="10" t="inlineStr">
        <is>
          <t>N</t>
        </is>
      </c>
    </row>
    <row r="15">
      <c r="A15" t="inlineStr">
        <is>
          <t>Material cost ($, your cost)</t>
        </is>
      </c>
      <c r="B15" s="2" t="n">
        <v>0</v>
      </c>
      <c r="C15" s="9">
        <f>B15*IF(B14="Y",COM_Mat,RES_Mat)</f>
        <v/>
      </c>
      <c r="D15" s="9">
        <f>B15</f>
        <v/>
      </c>
    </row>
    <row r="16">
      <c r="A16" t="inlineStr">
        <is>
          <t>Net 30? (Y/N)</t>
        </is>
      </c>
      <c r="B16" s="10" t="inlineStr">
        <is>
          <t>N</t>
        </is>
      </c>
    </row>
    <row r="17">
      <c r="A17" t="inlineStr">
        <is>
          <t>Subtotal</t>
        </is>
      </c>
      <c r="C17" s="9">
        <f>SUM(C4:C12)+C15</f>
        <v/>
      </c>
      <c r="D17" s="9">
        <f>SUM(D4:D12)+D15</f>
        <v/>
      </c>
    </row>
    <row r="18">
      <c r="A18" t="inlineStr">
        <is>
          <t>Net 30 adjustment</t>
        </is>
      </c>
      <c r="C18" s="9">
        <f>IF(B16="Y",C17*Net30,0)</f>
        <v/>
      </c>
    </row>
    <row r="19">
      <c r="A19" s="11" t="inlineStr">
        <is>
          <t>TOTAL PRICE</t>
        </is>
      </c>
      <c r="C19" s="12">
        <f>C17+C18</f>
        <v/>
      </c>
      <c r="D19" s="9">
        <f>D17</f>
        <v/>
      </c>
    </row>
    <row r="20">
      <c r="A20" t="inlineStr">
        <is>
          <t>Gross profit %</t>
        </is>
      </c>
      <c r="C20" s="8">
        <f>IF(C19=0,0,(C19-D19)/C19)</f>
        <v/>
      </c>
    </row>
    <row r="21">
      <c r="A21" t="inlineStr">
        <is>
          <t>Material cost % of price (target &lt;= 20%)</t>
        </is>
      </c>
      <c r="C21" s="8">
        <f>IF(C19=0,0,B15/C19)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2026-10-26T19:36:36Z</dcterms:created>
  <dcterms:modified xmlns:dcterms="http://purl.org/dc/terms/" xmlns:xsi="http://www.w3.org/2001/XMLSchema-instance" xsi:type="dcterms:W3CDTF">2026-10-26T19:36:36Z</dcterms:modified>
</cp:coreProperties>
</file>