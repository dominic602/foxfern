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Job Estimator" sheetId="2" state="visible" r:id="rId2"/>
    <sheet xmlns:r="http://schemas.openxmlformats.org/officeDocument/2006/relationships" name="Price Book" sheetId="3" state="visible" r:id="rId3"/>
  </sheets>
  <definedNames>
    <definedName name="PM_Pay">Inputs!$B$3</definedName>
    <definedName name="PM_Burden">Inputs!$B$4</definedName>
    <definedName name="PM_Hours">Inputs!$B$5</definedName>
    <definedName name="Min_GP">Inputs!$B$6</definedName>
    <definedName name="Max_Mat">Inputs!$B$7</definedName>
    <definedName name="RES_Sub">Inputs!$B$8</definedName>
    <definedName name="RES_PMRatio">Inputs!$B$9</definedName>
    <definedName name="RES_Rate">Inputs!$B$10</definedName>
    <definedName name="RES_Mat">Inputs!$B$11</definedName>
    <definedName name="RES_SubX">Inputs!$B$12</definedName>
    <definedName name="RES_SubPM">Inputs!$B$13</definedName>
    <definedName name="COM_Sub">Inputs!$B$14</definedName>
    <definedName name="COM_PMRatio">Inputs!$B$15</definedName>
    <definedName name="COM_Rate">Inputs!$B$16</definedName>
    <definedName name="COM_Mat">Inputs!$B$17</definedName>
    <definedName name="COM_SubX">Inputs!$B$18</definedName>
    <definedName name="COM_SubPM">Inputs!$B$19</definedName>
    <definedName name="Net30">Inputs!$B$20</definedName>
    <definedName name="PM_Hourly">Inputs!$B$23</definedName>
    <definedName name="RES_Cost">Inputs!$B$24</definedName>
    <definedName name="COM_Cost">Inputs!$B$27</definedName>
    <definedName name="_xlnm._FilterDatabase" localSheetId="2" hidden="1">'Price Book'!$A$1:$I$199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0.0"/>
    <numFmt numFmtId="167" formatCode="$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4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9" fontId="0" fillId="2" borderId="0" pivotButton="0" quotePrefix="0" xfId="0"/>
    <xf numFmtId="2" fontId="0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Fox &amp; Fern - Pricing Inputs (yellow cells are editable)</t>
        </is>
      </c>
    </row>
    <row r="3">
      <c r="A3" t="inlineStr">
        <is>
          <t>PM weekly pay</t>
        </is>
      </c>
      <c r="B3" s="2" t="n">
        <v>1000</v>
      </c>
    </row>
    <row r="4">
      <c r="A4" t="inlineStr">
        <is>
          <t>PM payroll burden %</t>
        </is>
      </c>
      <c r="B4" s="3" t="n">
        <v>0.25</v>
      </c>
    </row>
    <row r="5">
      <c r="A5" t="inlineStr">
        <is>
          <t>PM hours per week</t>
        </is>
      </c>
      <c r="B5" s="4" t="n">
        <v>40</v>
      </c>
    </row>
    <row r="6">
      <c r="A6" t="inlineStr">
        <is>
          <t>Minimum gross profit %</t>
        </is>
      </c>
      <c r="B6" s="3" t="n">
        <v>0.33</v>
      </c>
    </row>
    <row r="7">
      <c r="A7" t="inlineStr">
        <is>
          <t>Max material cost % of price</t>
        </is>
      </c>
      <c r="B7" s="3" t="n">
        <v>0.2</v>
      </c>
    </row>
    <row r="8">
      <c r="A8" t="inlineStr">
        <is>
          <t>Residential sub crew rate / hr</t>
        </is>
      </c>
      <c r="B8" s="2" t="n">
        <v>60</v>
      </c>
    </row>
    <row r="9">
      <c r="A9" t="inlineStr">
        <is>
          <t>Residential PM hrs per field hr</t>
        </is>
      </c>
      <c r="B9" s="4" t="n">
        <v>0.25</v>
      </c>
    </row>
    <row r="10">
      <c r="A10" t="inlineStr">
        <is>
          <t>Residential labor sell rate / hr</t>
        </is>
      </c>
      <c r="B10" s="2" t="n">
        <v>115</v>
      </c>
    </row>
    <row r="11">
      <c r="A11" t="inlineStr">
        <is>
          <t>Residential material markup (x)</t>
        </is>
      </c>
      <c r="B11" s="4" t="n">
        <v>1.5</v>
      </c>
    </row>
    <row r="12">
      <c r="A12" t="inlineStr">
        <is>
          <t>Residential sub quote multiplier (x)</t>
        </is>
      </c>
      <c r="B12" s="4" t="n">
        <v>1.65</v>
      </c>
    </row>
    <row r="13">
      <c r="A13" t="inlineStr">
        <is>
          <t>Residential PM % added to sub quotes</t>
        </is>
      </c>
      <c r="B13" s="3" t="n">
        <v>0.05</v>
      </c>
    </row>
    <row r="14">
      <c r="A14" t="inlineStr">
        <is>
          <t>Commercial sub crew rate / hr</t>
        </is>
      </c>
      <c r="B14" s="2" t="n">
        <v>65</v>
      </c>
    </row>
    <row r="15">
      <c r="A15" t="inlineStr">
        <is>
          <t>Commercial PM hrs per field hr</t>
        </is>
      </c>
      <c r="B15" s="4" t="n">
        <v>0.3</v>
      </c>
    </row>
    <row r="16">
      <c r="A16" t="inlineStr">
        <is>
          <t>Commercial labor sell rate / hr</t>
        </is>
      </c>
      <c r="B16" s="2" t="n">
        <v>150</v>
      </c>
    </row>
    <row r="17">
      <c r="A17" t="inlineStr">
        <is>
          <t>Commercial material markup (x)</t>
        </is>
      </c>
      <c r="B17" s="4" t="n">
        <v>2</v>
      </c>
    </row>
    <row r="18">
      <c r="A18" t="inlineStr">
        <is>
          <t>Commercial sub quote multiplier (x)</t>
        </is>
      </c>
      <c r="B18" s="4" t="n">
        <v>1.9</v>
      </c>
    </row>
    <row r="19">
      <c r="A19" t="inlineStr">
        <is>
          <t>Commercial PM % added to sub quotes</t>
        </is>
      </c>
      <c r="B19" s="3" t="n">
        <v>0.08</v>
      </c>
    </row>
    <row r="20">
      <c r="A20" t="inlineStr">
        <is>
          <t>Net 30 terms adjustment %</t>
        </is>
      </c>
      <c r="B20" s="3" t="n">
        <v>0.05</v>
      </c>
    </row>
    <row r="22">
      <c r="A22" s="5" t="inlineStr">
        <is>
          <t>Calculated</t>
        </is>
      </c>
    </row>
    <row r="23">
      <c r="A23" t="inlineStr">
        <is>
          <t>PM loaded cost / hr</t>
        </is>
      </c>
      <c r="B23" s="6">
        <f>PM_Pay*(1+PM_Burden)/PM_Hours</f>
        <v/>
      </c>
    </row>
    <row r="24">
      <c r="A24" t="inlineStr">
        <is>
          <t>Residential loaded labor cost / hr</t>
        </is>
      </c>
      <c r="B24" s="6">
        <f>RES_Sub+PM_Hourly*RES_PMRatio</f>
        <v/>
      </c>
    </row>
    <row r="25">
      <c r="A25" t="inlineStr">
        <is>
          <t>Residential labor GP %</t>
        </is>
      </c>
      <c r="B25" s="7">
        <f>(RES_Rate-RES_Cost)/RES_Rate</f>
        <v/>
      </c>
    </row>
    <row r="26">
      <c r="A26" t="inlineStr">
        <is>
          <t>Residential rate needed for min GP</t>
        </is>
      </c>
      <c r="B26" s="6">
        <f>RES_Cost/(1-Min_GP)</f>
        <v/>
      </c>
    </row>
    <row r="27">
      <c r="A27" t="inlineStr">
        <is>
          <t>Commercial loaded labor cost / hr</t>
        </is>
      </c>
      <c r="B27" s="6">
        <f>COM_Sub+PM_Hourly*COM_PMRatio</f>
        <v/>
      </c>
    </row>
    <row r="28">
      <c r="A28" t="inlineStr">
        <is>
          <t>Commercial labor GP %</t>
        </is>
      </c>
      <c r="B28" s="7">
        <f>(COM_Rate-COM_Cost)/COM_Rate</f>
        <v/>
      </c>
    </row>
    <row r="29">
      <c r="A29" t="inlineStr">
        <is>
          <t>Commercial rate needed for min GP</t>
        </is>
      </c>
      <c r="B29" s="6">
        <f>COM_Cost/(1-Min_GP)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</cols>
  <sheetData>
    <row r="1">
      <c r="A1" s="1" t="inlineStr">
        <is>
          <t>Quick Job Estimator - enter labor, materials and subs; get the price</t>
        </is>
      </c>
    </row>
    <row r="3">
      <c r="A3" t="inlineStr">
        <is>
          <t>Segment (RES or COM)</t>
        </is>
      </c>
      <c r="B3" s="8" t="inlineStr">
        <is>
          <t>RES</t>
        </is>
      </c>
    </row>
    <row r="4">
      <c r="A4" t="inlineStr">
        <is>
          <t>Total labor DAYS (1 tech x 8 hrs)</t>
        </is>
      </c>
      <c r="B4" s="8" t="n">
        <v>0</v>
      </c>
    </row>
    <row r="5">
      <c r="A5" t="inlineStr">
        <is>
          <t>Additional labor HOURS</t>
        </is>
      </c>
      <c r="B5" s="8" t="n">
        <v>0</v>
      </c>
    </row>
    <row r="6">
      <c r="A6" t="inlineStr">
        <is>
          <t>Material cost ($, your cost)</t>
        </is>
      </c>
      <c r="B6" s="2" t="n">
        <v>0</v>
      </c>
    </row>
    <row r="7">
      <c r="A7" t="inlineStr">
        <is>
          <t>Specialty sub quotes ($, their price)</t>
        </is>
      </c>
      <c r="B7" s="2" t="n">
        <v>0</v>
      </c>
    </row>
    <row r="8">
      <c r="A8" t="inlineStr">
        <is>
          <t>Dumpster / other pass-through cost ($)</t>
        </is>
      </c>
      <c r="B8" s="2" t="n">
        <v>0</v>
      </c>
    </row>
    <row r="9">
      <c r="A9" t="inlineStr">
        <is>
          <t>Net 30 terms? (Y/N)</t>
        </is>
      </c>
      <c r="B9" s="8" t="inlineStr">
        <is>
          <t>N</t>
        </is>
      </c>
    </row>
    <row r="10">
      <c r="A10" s="5" t="inlineStr">
        <is>
          <t>Results</t>
        </is>
      </c>
      <c r="B10" s="5" t="inlineStr">
        <is>
          <t>Price</t>
        </is>
      </c>
      <c r="C10" s="5" t="inlineStr">
        <is>
          <t>Cost</t>
        </is>
      </c>
    </row>
    <row r="11">
      <c r="A11" t="inlineStr">
        <is>
          <t>Total labor hours</t>
        </is>
      </c>
      <c r="B11" s="9">
        <f>B4*8+B5</f>
        <v/>
      </c>
    </row>
    <row r="12">
      <c r="A12" t="inlineStr">
        <is>
          <t>Labor price</t>
        </is>
      </c>
      <c r="B12" s="10">
        <f>B11*IF(B3="COM",COM_Rate,RES_Rate)</f>
        <v/>
      </c>
      <c r="C12" s="10">
        <f>B11*IF(B3="COM",COM_Cost,RES_Cost)</f>
        <v/>
      </c>
    </row>
    <row r="13">
      <c r="A13" t="inlineStr">
        <is>
          <t>Materials price</t>
        </is>
      </c>
      <c r="B13" s="10">
        <f>B6*IF(B3="COM",COM_Mat,RES_Mat)</f>
        <v/>
      </c>
      <c r="C13" s="10">
        <f>B6</f>
        <v/>
      </c>
    </row>
    <row r="14">
      <c r="A14" t="inlineStr">
        <is>
          <t>Subcontractor price</t>
        </is>
      </c>
      <c r="B14" s="10">
        <f>B7*IF(B3="COM",COM_SubX,RES_SubX)</f>
        <v/>
      </c>
      <c r="C14" s="10">
        <f>B7*(1+IF(B3="COM",COM_SubPM,RES_SubPM))</f>
        <v/>
      </c>
    </row>
    <row r="15">
      <c r="A15" t="inlineStr">
        <is>
          <t>Pass-through price</t>
        </is>
      </c>
      <c r="B15" s="10">
        <f>B8*IF(B3="COM",COM_Mat,RES_Mat)</f>
        <v/>
      </c>
      <c r="C15" s="10">
        <f>B8</f>
        <v/>
      </c>
    </row>
    <row r="16">
      <c r="A16" t="inlineStr">
        <is>
          <t>Subtotal</t>
        </is>
      </c>
      <c r="B16" s="10">
        <f>SUM(B12:B15)</f>
        <v/>
      </c>
      <c r="C16" s="10">
        <f>SUM(C12:C15)</f>
        <v/>
      </c>
    </row>
    <row r="17">
      <c r="A17" t="inlineStr">
        <is>
          <t>Net 30 adjustment</t>
        </is>
      </c>
      <c r="B17" s="10">
        <f>IF(B9="Y",B16*Net30,0)</f>
        <v/>
      </c>
      <c r="C17" s="10">
        <f>0</f>
        <v/>
      </c>
    </row>
    <row r="18">
      <c r="A18" s="5" t="inlineStr">
        <is>
          <t>TOTAL PRICE</t>
        </is>
      </c>
      <c r="B18" s="11">
        <f>B16+B17</f>
        <v/>
      </c>
      <c r="C18" s="10">
        <f>C16+C17</f>
        <v/>
      </c>
    </row>
    <row r="19">
      <c r="A19" t="inlineStr">
        <is>
          <t>Gross profit $</t>
        </is>
      </c>
      <c r="B19" s="10">
        <f>B18-C18</f>
        <v/>
      </c>
    </row>
    <row r="20">
      <c r="A20" t="inlineStr">
        <is>
          <t>Gross profit %</t>
        </is>
      </c>
      <c r="B20" s="7">
        <f>IF(B18=0,0,B19/B18)</f>
        <v/>
      </c>
    </row>
    <row r="21">
      <c r="A21" t="inlineStr">
        <is>
          <t>Material cost % of price</t>
        </is>
      </c>
      <c r="B21" s="7">
        <f>IF(B18=0,0,B6/B18)</f>
        <v/>
      </c>
    </row>
    <row r="22">
      <c r="A22" t="inlineStr">
        <is>
          <t>Check</t>
        </is>
      </c>
      <c r="B22">
        <f>IF(B18=0,"",IF(B20&lt;Min_GP,"BELOW MIN GP - raise price",IF(B21&gt;Max_Mat,"Material heavy - GP OK, watch it","OK")))</f>
        <v/>
      </c>
    </row>
    <row r="24">
      <c r="A24" s="12" t="inlineStr">
        <is>
          <t>In Housecall Pro: add 'Remodel Labor - Crew Day' (qty = days), 'Remodel Labor - Per Hour' (qty = extra hours), 'Materials (per $1 of cost)' (qty = material $), 'Specialty Subcontractor (per $1)' (qty = sub quote $) and, if Net 30, the Net 30 line (qty = subtotal / 100). The totals will match this sheet.</t>
        </is>
      </c>
    </row>
    <row r="25"/>
    <row r="26"/>
    <row r="27"/>
  </sheetData>
  <mergeCells count="1">
    <mergeCell ref="A24:C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48" customWidth="1" min="3" max="3"/>
    <col width="9" customWidth="1" min="4" max="4"/>
    <col width="11" customWidth="1" min="5" max="5"/>
    <col width="11" customWidth="1" min="6" max="6"/>
    <col width="8" customWidth="1" min="7" max="7"/>
    <col width="10" customWidth="1" min="8" max="8"/>
    <col width="90" customWidth="1" min="9" max="9"/>
  </cols>
  <sheetData>
    <row r="1">
      <c r="A1" s="13" t="inlineStr">
        <is>
          <t>Segment</t>
        </is>
      </c>
      <c r="B1" s="13" t="inlineStr">
        <is>
          <t>Category</t>
        </is>
      </c>
      <c r="C1" s="13" t="inlineStr">
        <is>
          <t>Name</t>
        </is>
      </c>
      <c r="D1" s="13" t="inlineStr">
        <is>
          <t>Unit</t>
        </is>
      </c>
      <c r="E1" s="13" t="inlineStr">
        <is>
          <t>Price</t>
        </is>
      </c>
      <c r="F1" s="13" t="inlineStr">
        <is>
          <t>Cost</t>
        </is>
      </c>
      <c r="G1" s="13" t="inlineStr">
        <is>
          <t>GP %</t>
        </is>
      </c>
      <c r="H1" s="13" t="inlineStr">
        <is>
          <t>Material % of price</t>
        </is>
      </c>
      <c r="I1" s="13" t="inlineStr">
        <is>
          <t>Description</t>
        </is>
      </c>
    </row>
    <row r="2">
      <c r="A2" t="inlineStr">
        <is>
          <t>RES</t>
        </is>
      </c>
      <c r="B2" t="inlineStr">
        <is>
          <t>Labor &amp; Rates</t>
        </is>
      </c>
      <c r="C2" t="inlineStr">
        <is>
          <t>Remodel Labor - Per Hour</t>
        </is>
      </c>
      <c r="D2" t="inlineStr">
        <is>
          <t>Hour</t>
        </is>
      </c>
      <c r="E2" s="6" t="n">
        <v>115</v>
      </c>
      <c r="F2" s="6" t="n">
        <v>67.81</v>
      </c>
      <c r="G2" s="7">
        <f>IF(E2=0,0,(E2-F2)/E2)</f>
        <v/>
      </c>
      <c r="H2" s="14" t="n">
        <v>0</v>
      </c>
      <c r="I2" t="inlineStr">
        <is>
          <t>Skilled remodel labor, per labor hour. Includes project management and supervision. Qty = total labor hours.</t>
        </is>
      </c>
    </row>
    <row r="3">
      <c r="A3" t="inlineStr">
        <is>
          <t>RES</t>
        </is>
      </c>
      <c r="B3" t="inlineStr">
        <is>
          <t>Labor &amp; Rates</t>
        </is>
      </c>
      <c r="C3" t="inlineStr">
        <is>
          <t>Remodel Labor - Crew Day (1 tech, 8 hrs)</t>
        </is>
      </c>
      <c r="D3" t="inlineStr">
        <is>
          <t>Day</t>
        </is>
      </c>
      <c r="E3" s="6" t="n">
        <v>920</v>
      </c>
      <c r="F3" s="6" t="n">
        <v>542.5</v>
      </c>
      <c r="G3" s="7">
        <f>IF(E3=0,0,(E3-F3)/E3)</f>
        <v/>
      </c>
      <c r="H3" s="14" t="n">
        <v>0</v>
      </c>
      <c r="I3" t="inlineStr">
        <is>
          <t>One technician, 8-hour day. Includes project management. Qty = total labor days.</t>
        </is>
      </c>
    </row>
    <row r="4">
      <c r="A4" t="inlineStr">
        <is>
          <t>RES</t>
        </is>
      </c>
      <c r="B4" t="inlineStr">
        <is>
          <t>Labor &amp; Rates</t>
        </is>
      </c>
      <c r="C4" t="inlineStr">
        <is>
          <t>Remodel Labor - 2-Person Crew Day (16 hrs)</t>
        </is>
      </c>
      <c r="D4" t="inlineStr">
        <is>
          <t>Day</t>
        </is>
      </c>
      <c r="E4" s="6" t="n">
        <v>1840</v>
      </c>
      <c r="F4" s="6" t="n">
        <v>1085</v>
      </c>
      <c r="G4" s="7">
        <f>IF(E4=0,0,(E4-F4)/E4)</f>
        <v/>
      </c>
      <c r="H4" s="14" t="n">
        <v>0</v>
      </c>
      <c r="I4" t="inlineStr">
        <is>
          <t>Two-person crew, 8-hour day (16 labor hours). Includes project management.</t>
        </is>
      </c>
    </row>
    <row r="5">
      <c r="A5" t="inlineStr">
        <is>
          <t>RES</t>
        </is>
      </c>
      <c r="B5" t="inlineStr">
        <is>
          <t>Labor &amp; Rates</t>
        </is>
      </c>
      <c r="C5" t="inlineStr">
        <is>
          <t>Handyman - Service Call (first 2 hrs)</t>
        </is>
      </c>
      <c r="D5" t="inlineStr">
        <is>
          <t>Each</t>
        </is>
      </c>
      <c r="E5" s="6" t="n">
        <v>230</v>
      </c>
      <c r="F5" s="6" t="n">
        <v>135.62</v>
      </c>
      <c r="G5" s="7">
        <f>IF(E5=0,0,(E5-F5)/E5)</f>
        <v/>
      </c>
      <c r="H5" s="14" t="n">
        <v>0</v>
      </c>
      <c r="I5" t="inlineStr">
        <is>
          <t>Minimum handyman visit: trip and first 2 hours of labor. Materials billed separately.</t>
        </is>
      </c>
    </row>
    <row r="6">
      <c r="A6" t="inlineStr">
        <is>
          <t>RES</t>
        </is>
      </c>
      <c r="B6" t="inlineStr">
        <is>
          <t>Labor &amp; Rates</t>
        </is>
      </c>
      <c r="C6" t="inlineStr">
        <is>
          <t>Handyman - Additional Hour</t>
        </is>
      </c>
      <c r="D6" t="inlineStr">
        <is>
          <t>Hour</t>
        </is>
      </c>
      <c r="E6" s="6" t="n">
        <v>115</v>
      </c>
      <c r="F6" s="6" t="n">
        <v>67.81</v>
      </c>
      <c r="G6" s="7">
        <f>IF(E6=0,0,(E6-F6)/E6)</f>
        <v/>
      </c>
      <c r="H6" s="14" t="n">
        <v>0</v>
      </c>
      <c r="I6" t="inlineStr">
        <is>
          <t>Each additional handyman labor hour after the first 2.</t>
        </is>
      </c>
    </row>
    <row r="7">
      <c r="A7" t="inlineStr">
        <is>
          <t>RES</t>
        </is>
      </c>
      <c r="B7" t="inlineStr">
        <is>
          <t>Labor &amp; Rates</t>
        </is>
      </c>
      <c r="C7" t="inlineStr">
        <is>
          <t>Handyman - Half Day (4 hrs)</t>
        </is>
      </c>
      <c r="D7" t="inlineStr">
        <is>
          <t>Each</t>
        </is>
      </c>
      <c r="E7" s="6" t="n">
        <v>460</v>
      </c>
      <c r="F7" s="6" t="n">
        <v>271.25</v>
      </c>
      <c r="G7" s="7">
        <f>IF(E7=0,0,(E7-F7)/E7)</f>
        <v/>
      </c>
      <c r="H7" s="14" t="n">
        <v>0</v>
      </c>
      <c r="I7" t="inlineStr">
        <is>
          <t>Half-day handyman block for punch lists / honey-do lists. Materials billed separately.</t>
        </is>
      </c>
    </row>
    <row r="8">
      <c r="A8" t="inlineStr">
        <is>
          <t>RES</t>
        </is>
      </c>
      <c r="B8" t="inlineStr">
        <is>
          <t>Labor &amp; Rates</t>
        </is>
      </c>
      <c r="C8" t="inlineStr">
        <is>
          <t>Handyman - Full Day (8 hrs)</t>
        </is>
      </c>
      <c r="D8" t="inlineStr">
        <is>
          <t>Each</t>
        </is>
      </c>
      <c r="E8" s="6" t="n">
        <v>920</v>
      </c>
      <c r="F8" s="6" t="n">
        <v>542.5</v>
      </c>
      <c r="G8" s="7">
        <f>IF(E8=0,0,(E8-F8)/E8)</f>
        <v/>
      </c>
      <c r="H8" s="14" t="n">
        <v>0</v>
      </c>
      <c r="I8" t="inlineStr">
        <is>
          <t>Full-day handyman block. Materials billed separately.</t>
        </is>
      </c>
    </row>
    <row r="9">
      <c r="A9" t="inlineStr">
        <is>
          <t>RES</t>
        </is>
      </c>
      <c r="B9" t="inlineStr">
        <is>
          <t>Materials &amp; Subcontractors</t>
        </is>
      </c>
      <c r="C9" t="inlineStr">
        <is>
          <t>Materials (per $1 of cost)</t>
        </is>
      </c>
      <c r="D9" t="inlineStr">
        <is>
          <t>$1</t>
        </is>
      </c>
      <c r="E9" s="6" t="n">
        <v>1.5</v>
      </c>
      <c r="F9" s="6" t="n">
        <v>1</v>
      </c>
      <c r="G9" s="7">
        <f>IF(E9=0,0,(E9-F9)/E9)</f>
        <v/>
      </c>
      <c r="H9" s="14" t="n">
        <v>0</v>
      </c>
      <c r="I9" t="inlineStr">
        <is>
          <t>Project materials at standard markup. Enter qty = material cost in dollars (e.g. $1,250 of materials = qty 1250).</t>
        </is>
      </c>
    </row>
    <row r="10">
      <c r="A10" t="inlineStr">
        <is>
          <t>RES</t>
        </is>
      </c>
      <c r="B10" t="inlineStr">
        <is>
          <t>Materials &amp; Subcontractors</t>
        </is>
      </c>
      <c r="C10" t="inlineStr">
        <is>
          <t>Specialty Subcontractor (per $1 of sub quote)</t>
        </is>
      </c>
      <c r="D10" t="inlineStr">
        <is>
          <t>$1</t>
        </is>
      </c>
      <c r="E10" s="6" t="n">
        <v>1.65</v>
      </c>
      <c r="F10" s="6" t="n">
        <v>1.05</v>
      </c>
      <c r="G10" s="7">
        <f>IF(E10=0,0,(E10-F10)/E10)</f>
        <v/>
      </c>
      <c r="H10" s="14" t="n">
        <v>0</v>
      </c>
      <c r="I10" t="inlineStr">
        <is>
          <t>Licensed specialty trades (electrical, plumbing, HVAC, countertops, glass). Qty = sub's quote in dollars. Includes coordination and PM.</t>
        </is>
      </c>
    </row>
    <row r="11">
      <c r="A11" t="inlineStr">
        <is>
          <t>RES</t>
        </is>
      </c>
      <c r="B11" t="inlineStr">
        <is>
          <t>Materials &amp; Subcontractors</t>
        </is>
      </c>
      <c r="C11" t="inlineStr">
        <is>
          <t>Dumpster - 10 Yard</t>
        </is>
      </c>
      <c r="D11" t="inlineStr">
        <is>
          <t>Each</t>
        </is>
      </c>
      <c r="E11" s="6" t="n">
        <v>640</v>
      </c>
      <c r="F11" s="6" t="n">
        <v>425</v>
      </c>
      <c r="G11" s="7">
        <f>IF(E11=0,0,(E11-F11)/E11)</f>
        <v/>
      </c>
      <c r="H11" s="14" t="n">
        <v>0</v>
      </c>
      <c r="I11" t="inlineStr">
        <is>
          <t>10-yard roll-off dumpster, delivery, pickup and disposal (small bath / single room).</t>
        </is>
      </c>
    </row>
    <row r="12">
      <c r="A12" t="inlineStr">
        <is>
          <t>RES</t>
        </is>
      </c>
      <c r="B12" t="inlineStr">
        <is>
          <t>Materials &amp; Subcontractors</t>
        </is>
      </c>
      <c r="C12" t="inlineStr">
        <is>
          <t>Dumpster - 20 Yard</t>
        </is>
      </c>
      <c r="D12" t="inlineStr">
        <is>
          <t>Each</t>
        </is>
      </c>
      <c r="E12" s="6" t="n">
        <v>825</v>
      </c>
      <c r="F12" s="6" t="n">
        <v>550</v>
      </c>
      <c r="G12" s="7">
        <f>IF(E12=0,0,(E12-F12)/E12)</f>
        <v/>
      </c>
      <c r="H12" s="14" t="n">
        <v>0</v>
      </c>
      <c r="I12" t="inlineStr">
        <is>
          <t>20-yard roll-off dumpster, delivery, pickup and disposal (kitchen / multi-room / deck tear-off).</t>
        </is>
      </c>
    </row>
    <row r="13">
      <c r="A13" t="inlineStr">
        <is>
          <t>RES</t>
        </is>
      </c>
      <c r="B13" t="inlineStr">
        <is>
          <t>Materials &amp; Subcontractors</t>
        </is>
      </c>
      <c r="C13" t="inlineStr">
        <is>
          <t>Debris Haul-Away - Truckload</t>
        </is>
      </c>
      <c r="D13" t="inlineStr">
        <is>
          <t>Each</t>
        </is>
      </c>
      <c r="E13" s="6" t="n">
        <v>570</v>
      </c>
      <c r="F13" s="6" t="n">
        <v>353.44</v>
      </c>
      <c r="G13" s="7">
        <f>IF(E13=0,0,(E13-F13)/E13)</f>
        <v/>
      </c>
      <c r="H13" s="14" t="n">
        <v>0.2631578947368421</v>
      </c>
      <c r="I13" t="inlineStr">
        <is>
          <t>Load, haul and dispose of one pickup/trailer load of construction debris. Includes dump fees.</t>
        </is>
      </c>
    </row>
    <row r="14">
      <c r="A14" t="inlineStr">
        <is>
          <t>RES</t>
        </is>
      </c>
      <c r="B14" t="inlineStr">
        <is>
          <t>Materials &amp; Subcontractors</t>
        </is>
      </c>
      <c r="C14" t="inlineStr">
        <is>
          <t>Permit Fee (pass-through, per $1)</t>
        </is>
      </c>
      <c r="D14" t="inlineStr">
        <is>
          <t>$1</t>
        </is>
      </c>
      <c r="E14" s="6" t="n">
        <v>1</v>
      </c>
      <c r="F14" s="6" t="n">
        <v>1</v>
      </c>
      <c r="G14" s="7">
        <f>IF(E14=0,0,(E14-F14)/E14)</f>
        <v/>
      </c>
      <c r="H14" s="14" t="n">
        <v>0</v>
      </c>
      <c r="I14" t="inlineStr">
        <is>
          <t>Municipal permit fees billed at cost. Qty = permit fee in dollars.</t>
        </is>
      </c>
    </row>
    <row r="15">
      <c r="A15" t="inlineStr">
        <is>
          <t>RES</t>
        </is>
      </c>
      <c r="B15" t="inlineStr">
        <is>
          <t>Materials &amp; Subcontractors</t>
        </is>
      </c>
      <c r="C15" t="inlineStr">
        <is>
          <t>Permit Acquisition &amp; Drawings Admin</t>
        </is>
      </c>
      <c r="D15" t="inlineStr">
        <is>
          <t>Each</t>
        </is>
      </c>
      <c r="E15" s="6" t="n">
        <v>255</v>
      </c>
      <c r="F15" s="6" t="n">
        <v>93.75</v>
      </c>
      <c r="G15" s="7">
        <f>IF(E15=0,0,(E15-F15)/E15)</f>
        <v/>
      </c>
      <c r="H15" s="14" t="n">
        <v>0</v>
      </c>
      <c r="I15" t="inlineStr">
        <is>
          <t>Prepare application, drawings/sketches, submit and schedule inspections with the township or city.</t>
        </is>
      </c>
    </row>
    <row r="16">
      <c r="A16" t="inlineStr">
        <is>
          <t>RES</t>
        </is>
      </c>
      <c r="B16" t="inlineStr">
        <is>
          <t>Interior Remodel - Demo &amp; Prep</t>
        </is>
      </c>
      <c r="C16" t="inlineStr">
        <is>
          <t>Demo - Kitchen (standard, up to 150 sf)</t>
        </is>
      </c>
      <c r="D16" t="inlineStr">
        <is>
          <t>Each</t>
        </is>
      </c>
      <c r="E16" s="6" t="n">
        <v>1955</v>
      </c>
      <c r="F16" s="6" t="n">
        <v>1160</v>
      </c>
      <c r="G16" s="7">
        <f>IF(E16=0,0,(E16-F16)/E16)</f>
        <v/>
      </c>
      <c r="H16" s="14" t="n">
        <v>0.03836317135549872</v>
      </c>
      <c r="I16" t="inlineStr">
        <is>
          <t>Remove cabinets, counters, backsplash and flooring; protect adjacent areas. Dumpster billed separately.</t>
        </is>
      </c>
    </row>
    <row r="17">
      <c r="A17" t="inlineStr">
        <is>
          <t>RES</t>
        </is>
      </c>
      <c r="B17" t="inlineStr">
        <is>
          <t>Interior Remodel - Demo &amp; Prep</t>
        </is>
      </c>
      <c r="C17" t="inlineStr">
        <is>
          <t>Demo - Full Bathroom (up to 60 sf)</t>
        </is>
      </c>
      <c r="D17" t="inlineStr">
        <is>
          <t>Each</t>
        </is>
      </c>
      <c r="E17" s="6" t="n">
        <v>1225</v>
      </c>
      <c r="F17" s="6" t="n">
        <v>728.12</v>
      </c>
      <c r="G17" s="7">
        <f>IF(E17=0,0,(E17-F17)/E17)</f>
        <v/>
      </c>
      <c r="H17" s="14" t="n">
        <v>0.04081632653061224</v>
      </c>
      <c r="I17" t="inlineStr">
        <is>
          <t>Remove tub/shower, tile, vanity, toilet and flooring to studs/subfloor. Dumpster billed separately.</t>
        </is>
      </c>
    </row>
    <row r="18">
      <c r="A18" t="inlineStr">
        <is>
          <t>RES</t>
        </is>
      </c>
      <c r="B18" t="inlineStr">
        <is>
          <t>Interior Remodel - Demo &amp; Prep</t>
        </is>
      </c>
      <c r="C18" t="inlineStr">
        <is>
          <t>Demo - Drywall/Plaster</t>
        </is>
      </c>
      <c r="D18" t="inlineStr">
        <is>
          <t>Sq Ft</t>
        </is>
      </c>
      <c r="E18" s="6" t="n">
        <v>2.33</v>
      </c>
      <c r="F18" s="6" t="n">
        <v>1.38</v>
      </c>
      <c r="G18" s="7">
        <f>IF(E18=0,0,(E18-F18)/E18)</f>
        <v/>
      </c>
      <c r="H18" s="14" t="n">
        <v>0.008583690987124463</v>
      </c>
      <c r="I18" t="inlineStr">
        <is>
          <t>Remove drywall or plaster from walls/ceilings, bag debris. Per sf of wall/ceiling.</t>
        </is>
      </c>
    </row>
    <row r="19">
      <c r="A19" t="inlineStr">
        <is>
          <t>RES</t>
        </is>
      </c>
      <c r="B19" t="inlineStr">
        <is>
          <t>Interior Remodel - Demo &amp; Prep</t>
        </is>
      </c>
      <c r="C19" t="inlineStr">
        <is>
          <t>Demo - Flooring (tile, carpet, LVP)</t>
        </is>
      </c>
      <c r="D19" t="inlineStr">
        <is>
          <t>Sq Ft</t>
        </is>
      </c>
      <c r="E19" s="6" t="n">
        <v>3.48</v>
      </c>
      <c r="F19" s="6" t="n">
        <v>2.05</v>
      </c>
      <c r="G19" s="7">
        <f>IF(E19=0,0,(E19-F19)/E19)</f>
        <v/>
      </c>
      <c r="H19" s="14" t="n">
        <v>0.005747126436781609</v>
      </c>
      <c r="I19" t="inlineStr">
        <is>
          <t>Remove existing floor covering and scrape/prep subfloor.</t>
        </is>
      </c>
    </row>
    <row r="20">
      <c r="A20" t="inlineStr">
        <is>
          <t>RES</t>
        </is>
      </c>
      <c r="B20" t="inlineStr">
        <is>
          <t>Interior Remodel - Demo &amp; Prep</t>
        </is>
      </c>
      <c r="C20" t="inlineStr">
        <is>
          <t>Dust Protection / Zip Wall Setup</t>
        </is>
      </c>
      <c r="D20" t="inlineStr">
        <is>
          <t>Room</t>
        </is>
      </c>
      <c r="E20" s="6" t="n">
        <v>320</v>
      </c>
      <c r="F20" s="6" t="n">
        <v>195.62</v>
      </c>
      <c r="G20" s="7">
        <f>IF(E20=0,0,(E20-F20)/E20)</f>
        <v/>
      </c>
      <c r="H20" s="14" t="n">
        <v>0.1875</v>
      </c>
      <c r="I20" t="inlineStr">
        <is>
          <t>Plastic zip walls, floor protection and HEPA dust control per room.</t>
        </is>
      </c>
    </row>
    <row r="21">
      <c r="A21" t="inlineStr">
        <is>
          <t>RES</t>
        </is>
      </c>
      <c r="B21" t="inlineStr">
        <is>
          <t>Interior Remodel - Drywall &amp; Framing</t>
        </is>
      </c>
      <c r="C21" t="inlineStr">
        <is>
          <t>Drywall - Hang, Tape &amp; Finish (Level 4)</t>
        </is>
      </c>
      <c r="D21" t="inlineStr">
        <is>
          <t>Sq Ft</t>
        </is>
      </c>
      <c r="E21" s="6" t="n">
        <v>3.7</v>
      </c>
      <c r="F21" s="6" t="n">
        <v>2.25</v>
      </c>
      <c r="G21" s="7">
        <f>IF(E21=0,0,(E21-F21)/E21)</f>
        <v/>
      </c>
      <c r="H21" s="14" t="n">
        <v>0.1486486486486487</v>
      </c>
      <c r="I21" t="inlineStr">
        <is>
          <t>Supply and install 1/2" drywall, tape and finish to level 4, ready for paint. Per sf of board.</t>
        </is>
      </c>
    </row>
    <row r="22">
      <c r="A22" t="inlineStr">
        <is>
          <t>RES</t>
        </is>
      </c>
      <c r="B22" t="inlineStr">
        <is>
          <t>Interior Remodel - Drywall &amp; Framing</t>
        </is>
      </c>
      <c r="C22" t="inlineStr">
        <is>
          <t>Drywall Patch - Small (up to 6")</t>
        </is>
      </c>
      <c r="D22" t="inlineStr">
        <is>
          <t>Each</t>
        </is>
      </c>
      <c r="E22" s="6" t="n">
        <v>195</v>
      </c>
      <c r="F22" s="6" t="n">
        <v>116.72</v>
      </c>
      <c r="G22" s="7">
        <f>IF(E22=0,0,(E22-F22)/E22)</f>
        <v/>
      </c>
      <c r="H22" s="14" t="n">
        <v>0.07692307692307693</v>
      </c>
      <c r="I22" t="inlineStr">
        <is>
          <t>Patch, finish and prime small hole. Includes return trip for finish coats.</t>
        </is>
      </c>
    </row>
    <row r="23">
      <c r="A23" t="inlineStr">
        <is>
          <t>RES</t>
        </is>
      </c>
      <c r="B23" t="inlineStr">
        <is>
          <t>Interior Remodel - Drywall &amp; Framing</t>
        </is>
      </c>
      <c r="C23" t="inlineStr">
        <is>
          <t>Drywall Patch - Medium (up to 2'x2')</t>
        </is>
      </c>
      <c r="D23" t="inlineStr">
        <is>
          <t>Each</t>
        </is>
      </c>
      <c r="E23" s="6" t="n">
        <v>390</v>
      </c>
      <c r="F23" s="6" t="n">
        <v>233.44</v>
      </c>
      <c r="G23" s="7">
        <f>IF(E23=0,0,(E23-F23)/E23)</f>
        <v/>
      </c>
      <c r="H23" s="14" t="n">
        <v>0.07692307692307693</v>
      </c>
      <c r="I23" t="inlineStr">
        <is>
          <t>Cut out, back-block, patch, finish and prime. Includes return trip.</t>
        </is>
      </c>
    </row>
    <row r="24">
      <c r="A24" t="inlineStr">
        <is>
          <t>RES</t>
        </is>
      </c>
      <c r="B24" t="inlineStr">
        <is>
          <t>Interior Remodel - Drywall &amp; Framing</t>
        </is>
      </c>
      <c r="C24" t="inlineStr">
        <is>
          <t>Skim Coat Walls</t>
        </is>
      </c>
      <c r="D24" t="inlineStr">
        <is>
          <t>Sq Ft</t>
        </is>
      </c>
      <c r="E24" s="6" t="n">
        <v>2.45</v>
      </c>
      <c r="F24" s="6" t="n">
        <v>1.46</v>
      </c>
      <c r="G24" s="7">
        <f>IF(E24=0,0,(E24-F24)/E24)</f>
        <v/>
      </c>
      <c r="H24" s="14" t="n">
        <v>0.04081632653061224</v>
      </c>
      <c r="I24" t="inlineStr">
        <is>
          <t>Skim coat damaged plaster/drywall smooth, ready for paint.</t>
        </is>
      </c>
    </row>
    <row r="25">
      <c r="A25" t="inlineStr">
        <is>
          <t>RES</t>
        </is>
      </c>
      <c r="B25" t="inlineStr">
        <is>
          <t>Interior Remodel - Drywall &amp; Framing</t>
        </is>
      </c>
      <c r="C25" t="inlineStr">
        <is>
          <t>Interior Wall Framing (8' wall)</t>
        </is>
      </c>
      <c r="D25" t="inlineStr">
        <is>
          <t>Lin Ft</t>
        </is>
      </c>
      <c r="E25" s="6" t="n">
        <v>76</v>
      </c>
      <c r="F25" s="6" t="n">
        <v>45.91</v>
      </c>
      <c r="G25" s="7">
        <f>IF(E25=0,0,(E25-F25)/E25)</f>
        <v/>
      </c>
      <c r="H25" s="14" t="n">
        <v>0.1578947368421053</v>
      </c>
      <c r="I25" t="inlineStr">
        <is>
          <t>Frame non-load-bearing 2x4 wall with top/bottom plates at 16" o.c.</t>
        </is>
      </c>
    </row>
    <row r="26">
      <c r="A26" t="inlineStr">
        <is>
          <t>RES</t>
        </is>
      </c>
      <c r="B26" t="inlineStr">
        <is>
          <t>Interior Remodel - Drywall &amp; Framing</t>
        </is>
      </c>
      <c r="C26" t="inlineStr">
        <is>
          <t>Basement Finishing - Labor &amp; Consumables</t>
        </is>
      </c>
      <c r="D26" t="inlineStr">
        <is>
          <t>Sq Ft</t>
        </is>
      </c>
      <c r="E26" s="6" t="n">
        <v>34</v>
      </c>
      <c r="F26" s="6" t="n">
        <v>19.95</v>
      </c>
      <c r="G26" s="7">
        <f>IF(E26=0,0,(E26-F26)/E26)</f>
        <v/>
      </c>
      <c r="H26" s="14" t="n">
        <v>0.08823529411764706</v>
      </c>
      <c r="I26" t="inlineStr">
        <is>
          <t>Frame, insulate, drywall, trim and doors per sf of finished floor. Electric, HVAC and flooring billed separately.</t>
        </is>
      </c>
    </row>
    <row r="27">
      <c r="A27" t="inlineStr">
        <is>
          <t>RES</t>
        </is>
      </c>
      <c r="B27" t="inlineStr">
        <is>
          <t>Interior Remodel - Carpentry &amp; Trim</t>
        </is>
      </c>
      <c r="C27" t="inlineStr">
        <is>
          <t>Baseboard - Supply &amp; Install (primed MDF)</t>
        </is>
      </c>
      <c r="D27" t="inlineStr">
        <is>
          <t>Lin Ft</t>
        </is>
      </c>
      <c r="E27" s="6" t="n">
        <v>9.529999999999999</v>
      </c>
      <c r="F27" s="6" t="n">
        <v>5.82</v>
      </c>
      <c r="G27" s="7">
        <f>IF(E27=0,0,(E27-F27)/E27)</f>
        <v/>
      </c>
      <c r="H27" s="14" t="n">
        <v>0.1836306400839454</v>
      </c>
      <c r="I27" t="inlineStr">
        <is>
          <t>Supply and install primed 3-1/4" to 5-1/4" baseboard, caulk and fill, ready for paint.</t>
        </is>
      </c>
    </row>
    <row r="28">
      <c r="A28" t="inlineStr">
        <is>
          <t>RES</t>
        </is>
      </c>
      <c r="B28" t="inlineStr">
        <is>
          <t>Interior Remodel - Carpentry &amp; Trim</t>
        </is>
      </c>
      <c r="C28" t="inlineStr">
        <is>
          <t>Crown Molding - Supply &amp; Install</t>
        </is>
      </c>
      <c r="D28" t="inlineStr">
        <is>
          <t>Lin Ft</t>
        </is>
      </c>
      <c r="E28" s="6" t="n">
        <v>15.25</v>
      </c>
      <c r="F28" s="6" t="n">
        <v>9.279999999999999</v>
      </c>
      <c r="G28" s="7">
        <f>IF(E28=0,0,(E28-F28)/E28)</f>
        <v/>
      </c>
      <c r="H28" s="14" t="n">
        <v>0.1639344262295082</v>
      </c>
      <c r="I28" t="inlineStr">
        <is>
          <t>Supply and install primed crown molding, cope corners, caulk and fill.</t>
        </is>
      </c>
    </row>
    <row r="29">
      <c r="A29" t="inlineStr">
        <is>
          <t>RES</t>
        </is>
      </c>
      <c r="B29" t="inlineStr">
        <is>
          <t>Interior Remodel - Carpentry &amp; Trim</t>
        </is>
      </c>
      <c r="C29" t="inlineStr">
        <is>
          <t>Door Casing - Per Side</t>
        </is>
      </c>
      <c r="D29" t="inlineStr">
        <is>
          <t>Each</t>
        </is>
      </c>
      <c r="E29" s="6" t="n">
        <v>153</v>
      </c>
      <c r="F29" s="6" t="n">
        <v>92.81</v>
      </c>
      <c r="G29" s="7">
        <f>IF(E29=0,0,(E29-F29)/E29)</f>
        <v/>
      </c>
      <c r="H29" s="14" t="n">
        <v>0.1633986928104575</v>
      </c>
      <c r="I29" t="inlineStr">
        <is>
          <t>Supply and install primed casing on one side of a door opening.</t>
        </is>
      </c>
    </row>
    <row r="30">
      <c r="A30" t="inlineStr">
        <is>
          <t>RES</t>
        </is>
      </c>
      <c r="B30" t="inlineStr">
        <is>
          <t>Interior Remodel - Carpentry &amp; Trim</t>
        </is>
      </c>
      <c r="C30" t="inlineStr">
        <is>
          <t>Interior Prehung Door - Install Only</t>
        </is>
      </c>
      <c r="D30" t="inlineStr">
        <is>
          <t>Each</t>
        </is>
      </c>
      <c r="E30" s="6" t="n">
        <v>318</v>
      </c>
      <c r="F30" s="6" t="n">
        <v>189.53</v>
      </c>
      <c r="G30" s="7">
        <f>IF(E30=0,0,(E30-F30)/E30)</f>
        <v/>
      </c>
      <c r="H30" s="14" t="n">
        <v>0.06289308176100629</v>
      </c>
      <c r="I30" t="inlineStr">
        <is>
          <t>Install customer- or allowance-supplied prehung door, shim, hang hardware. Door via Materials line.</t>
        </is>
      </c>
    </row>
    <row r="31">
      <c r="A31" t="inlineStr">
        <is>
          <t>RES</t>
        </is>
      </c>
      <c r="B31" t="inlineStr">
        <is>
          <t>Interior Remodel - Carpentry &amp; Trim</t>
        </is>
      </c>
      <c r="C31" t="inlineStr">
        <is>
          <t>Closet Shelving System - Install</t>
        </is>
      </c>
      <c r="D31" t="inlineStr">
        <is>
          <t>Each</t>
        </is>
      </c>
      <c r="E31" s="6" t="n">
        <v>375</v>
      </c>
      <c r="F31" s="6" t="n">
        <v>223.44</v>
      </c>
      <c r="G31" s="7">
        <f>IF(E31=0,0,(E31-F31)/E31)</f>
        <v/>
      </c>
      <c r="H31" s="14" t="n">
        <v>0.05333333333333334</v>
      </c>
      <c r="I31" t="inlineStr">
        <is>
          <t>Install wire or laminate closet system (standard reach-in). System via Materials line.</t>
        </is>
      </c>
    </row>
    <row r="32">
      <c r="A32" t="inlineStr">
        <is>
          <t>RES</t>
        </is>
      </c>
      <c r="B32" t="inlineStr">
        <is>
          <t>Interior Remodel - Carpentry &amp; Trim</t>
        </is>
      </c>
      <c r="C32" t="inlineStr">
        <is>
          <t>Stair Treads - Replace</t>
        </is>
      </c>
      <c r="D32" t="inlineStr">
        <is>
          <t>Each</t>
        </is>
      </c>
      <c r="E32" s="6" t="n">
        <v>159</v>
      </c>
      <c r="F32" s="6" t="n">
        <v>94.77</v>
      </c>
      <c r="G32" s="7">
        <f>IF(E32=0,0,(E32-F32)/E32)</f>
        <v/>
      </c>
      <c r="H32" s="14" t="n">
        <v>0.06289308176100629</v>
      </c>
      <c r="I32" t="inlineStr">
        <is>
          <t>Remove and replace one stair tread and riser. Tread via Materials line.</t>
        </is>
      </c>
    </row>
    <row r="33">
      <c r="A33" t="inlineStr">
        <is>
          <t>RES</t>
        </is>
      </c>
      <c r="B33" t="inlineStr">
        <is>
          <t>Interior Remodel - Kitchen</t>
        </is>
      </c>
      <c r="C33" t="inlineStr">
        <is>
          <t>Cabinet Install - Base or Wall</t>
        </is>
      </c>
      <c r="D33" t="inlineStr">
        <is>
          <t>Lin Ft</t>
        </is>
      </c>
      <c r="E33" s="6" t="n">
        <v>93</v>
      </c>
      <c r="F33" s="6" t="n">
        <v>54.86</v>
      </c>
      <c r="G33" s="7">
        <f>IF(E33=0,0,(E33-F33)/E33)</f>
        <v/>
      </c>
      <c r="H33" s="14" t="n">
        <v>0.04301075268817205</v>
      </c>
      <c r="I33" t="inlineStr">
        <is>
          <t>Install, level, shim and fasten cabinets; install hardware. Cabinets via Materials line.</t>
        </is>
      </c>
    </row>
    <row r="34">
      <c r="A34" t="inlineStr">
        <is>
          <t>RES</t>
        </is>
      </c>
      <c r="B34" t="inlineStr">
        <is>
          <t>Interior Remodel - Kitchen</t>
        </is>
      </c>
      <c r="C34" t="inlineStr">
        <is>
          <t>Cabinet Crown / Light Rail</t>
        </is>
      </c>
      <c r="D34" t="inlineStr">
        <is>
          <t>Lin Ft</t>
        </is>
      </c>
      <c r="E34" s="6" t="n">
        <v>18.75</v>
      </c>
      <c r="F34" s="6" t="n">
        <v>11.17</v>
      </c>
      <c r="G34" s="7">
        <f>IF(E34=0,0,(E34-F34)/E34)</f>
        <v/>
      </c>
      <c r="H34" s="14" t="n">
        <v>0.05333333333333334</v>
      </c>
      <c r="I34" t="inlineStr">
        <is>
          <t>Install cabinet crown or light rail molding. Molding via Materials line.</t>
        </is>
      </c>
    </row>
    <row r="35">
      <c r="A35" t="inlineStr">
        <is>
          <t>RES</t>
        </is>
      </c>
      <c r="B35" t="inlineStr">
        <is>
          <t>Interior Remodel - Kitchen</t>
        </is>
      </c>
      <c r="C35" t="inlineStr">
        <is>
          <t>Backsplash Tile - Install</t>
        </is>
      </c>
      <c r="D35" t="inlineStr">
        <is>
          <t>Sq Ft</t>
        </is>
      </c>
      <c r="E35" s="6" t="n">
        <v>27</v>
      </c>
      <c r="F35" s="6" t="n">
        <v>16.06</v>
      </c>
      <c r="G35" s="7">
        <f>IF(E35=0,0,(E35-F35)/E35)</f>
        <v/>
      </c>
      <c r="H35" s="14" t="n">
        <v>0.09259259259259259</v>
      </c>
      <c r="I35" t="inlineStr">
        <is>
          <t>Install backsplash tile incl. thinset, grout and caulk. Tile via Materials line.</t>
        </is>
      </c>
    </row>
    <row r="36">
      <c r="A36" t="inlineStr">
        <is>
          <t>RES</t>
        </is>
      </c>
      <c r="B36" t="inlineStr">
        <is>
          <t>Interior Remodel - Kitchen</t>
        </is>
      </c>
      <c r="C36" t="inlineStr">
        <is>
          <t>Countertop Template &amp; Install Coordination</t>
        </is>
      </c>
      <c r="D36" t="inlineStr">
        <is>
          <t>Each</t>
        </is>
      </c>
      <c r="E36" s="6" t="n">
        <v>255</v>
      </c>
      <c r="F36" s="6" t="n">
        <v>93.75</v>
      </c>
      <c r="G36" s="7">
        <f>IF(E36=0,0,(E36-F36)/E36)</f>
        <v/>
      </c>
      <c r="H36" s="14" t="n">
        <v>0</v>
      </c>
      <c r="I36" t="inlineStr">
        <is>
          <t>Schedule fabricator template and install, disconnect/reconnect sink. Fabricator via Specialty Sub line.</t>
        </is>
      </c>
    </row>
    <row r="37">
      <c r="A37" t="inlineStr">
        <is>
          <t>RES</t>
        </is>
      </c>
      <c r="B37" t="inlineStr">
        <is>
          <t>Interior Remodel - Kitchen</t>
        </is>
      </c>
      <c r="C37" t="inlineStr">
        <is>
          <t>Appliance Install - Each</t>
        </is>
      </c>
      <c r="D37" t="inlineStr">
        <is>
          <t>Each</t>
        </is>
      </c>
      <c r="E37" s="6" t="n">
        <v>138</v>
      </c>
      <c r="F37" s="6" t="n">
        <v>82.81</v>
      </c>
      <c r="G37" s="7">
        <f>IF(E37=0,0,(E37-F37)/E37)</f>
        <v/>
      </c>
      <c r="H37" s="14" t="n">
        <v>0.108695652173913</v>
      </c>
      <c r="I37" t="inlineStr">
        <is>
          <t>Install and connect dishwasher, range, hood, microwave or refrigerator (existing utilities).</t>
        </is>
      </c>
    </row>
    <row r="38">
      <c r="A38" t="inlineStr">
        <is>
          <t>RES</t>
        </is>
      </c>
      <c r="B38" t="inlineStr">
        <is>
          <t>Interior Remodel - Bathroom</t>
        </is>
      </c>
      <c r="C38" t="inlineStr">
        <is>
          <t>Tub/Shower Tile Surround - Labor &amp; Prep</t>
        </is>
      </c>
      <c r="D38" t="inlineStr">
        <is>
          <t>Each</t>
        </is>
      </c>
      <c r="E38" s="6" t="n">
        <v>4355</v>
      </c>
      <c r="F38" s="6" t="n">
        <v>2620</v>
      </c>
      <c r="G38" s="7">
        <f>IF(E38=0,0,(E38-F38)/E38)</f>
        <v/>
      </c>
      <c r="H38" s="14" t="n">
        <v>0.1033295063145809</v>
      </c>
      <c r="I38" t="inlineStr">
        <is>
          <t>Standard 5' alcove: cement board, waterproof membrane, tile walls, niche, grout and seal. Tile via Materials line.</t>
        </is>
      </c>
    </row>
    <row r="39">
      <c r="A39" t="inlineStr">
        <is>
          <t>RES</t>
        </is>
      </c>
      <c r="B39" t="inlineStr">
        <is>
          <t>Interior Remodel - Bathroom</t>
        </is>
      </c>
      <c r="C39" t="inlineStr">
        <is>
          <t>Floor Tile - Install</t>
        </is>
      </c>
      <c r="D39" t="inlineStr">
        <is>
          <t>Sq Ft</t>
        </is>
      </c>
      <c r="E39" s="6" t="n">
        <v>25</v>
      </c>
      <c r="F39" s="6" t="n">
        <v>14.46</v>
      </c>
      <c r="G39" s="7">
        <f>IF(E39=0,0,(E39-F39)/E39)</f>
        <v/>
      </c>
      <c r="H39" s="14" t="n">
        <v>0.09</v>
      </c>
      <c r="I39" t="inlineStr">
        <is>
          <t>Install floor tile incl. underlayment/thinset/grout. Tile via Materials line.</t>
        </is>
      </c>
    </row>
    <row r="40">
      <c r="A40" t="inlineStr">
        <is>
          <t>RES</t>
        </is>
      </c>
      <c r="B40" t="inlineStr">
        <is>
          <t>Interior Remodel - Bathroom</t>
        </is>
      </c>
      <c r="C40" t="inlineStr">
        <is>
          <t>Vanity &amp; Top - Install</t>
        </is>
      </c>
      <c r="D40" t="inlineStr">
        <is>
          <t>Each</t>
        </is>
      </c>
      <c r="E40" s="6" t="n">
        <v>498</v>
      </c>
      <c r="F40" s="6" t="n">
        <v>296.25</v>
      </c>
      <c r="G40" s="7">
        <f>IF(E40=0,0,(E40-F40)/E40)</f>
        <v/>
      </c>
      <c r="H40" s="14" t="n">
        <v>0.05020080321285141</v>
      </c>
      <c r="I40" t="inlineStr">
        <is>
          <t>Install vanity and top; plumber connects or by Specialty Sub line. Vanity via Materials line.</t>
        </is>
      </c>
    </row>
    <row r="41">
      <c r="A41" t="inlineStr">
        <is>
          <t>RES</t>
        </is>
      </c>
      <c r="B41" t="inlineStr">
        <is>
          <t>Interior Remodel - Bathroom</t>
        </is>
      </c>
      <c r="C41" t="inlineStr">
        <is>
          <t>Toilet - Remove &amp; Reset</t>
        </is>
      </c>
      <c r="D41" t="inlineStr">
        <is>
          <t>Each</t>
        </is>
      </c>
      <c r="E41" s="6" t="n">
        <v>203</v>
      </c>
      <c r="F41" s="6" t="n">
        <v>121.72</v>
      </c>
      <c r="G41" s="7">
        <f>IF(E41=0,0,(E41-F41)/E41)</f>
        <v/>
      </c>
      <c r="H41" s="14" t="n">
        <v>0.09852216748768473</v>
      </c>
      <c r="I41" t="inlineStr">
        <is>
          <t>Remove and reset/replace toilet incl. wax ring and supply line.</t>
        </is>
      </c>
    </row>
    <row r="42">
      <c r="A42" t="inlineStr">
        <is>
          <t>RES</t>
        </is>
      </c>
      <c r="B42" t="inlineStr">
        <is>
          <t>Interior Remodel - Bathroom</t>
        </is>
      </c>
      <c r="C42" t="inlineStr">
        <is>
          <t>Bath Accessories Package</t>
        </is>
      </c>
      <c r="D42" t="inlineStr">
        <is>
          <t>Each</t>
        </is>
      </c>
      <c r="E42" s="6" t="n">
        <v>253</v>
      </c>
      <c r="F42" s="6" t="n">
        <v>150.62</v>
      </c>
      <c r="G42" s="7">
        <f>IF(E42=0,0,(E42-F42)/E42)</f>
        <v/>
      </c>
      <c r="H42" s="14" t="n">
        <v>0.05928853754940711</v>
      </c>
      <c r="I42" t="inlineStr">
        <is>
          <t>Install towel bars, TP holder, mirror, medicine cabinet.</t>
        </is>
      </c>
    </row>
    <row r="43">
      <c r="A43" t="inlineStr">
        <is>
          <t>RES</t>
        </is>
      </c>
      <c r="B43" t="inlineStr">
        <is>
          <t>Interior Remodel - Bathroom</t>
        </is>
      </c>
      <c r="C43" t="inlineStr">
        <is>
          <t>Full Bath Remodel - Labor &amp; PM Package (5x8)</t>
        </is>
      </c>
      <c r="D43" t="inlineStr">
        <is>
          <t>Each</t>
        </is>
      </c>
      <c r="E43" s="6" t="n">
        <v>10550</v>
      </c>
      <c r="F43" s="6" t="n">
        <v>6325</v>
      </c>
      <c r="G43" s="7">
        <f>IF(E43=0,0,(E43-F43)/E43)</f>
        <v/>
      </c>
      <c r="H43" s="14" t="n">
        <v>0.08530805687203792</v>
      </c>
      <c r="I43" t="inlineStr">
        <is>
          <t>Demo, framing/backer, waterproofing, tile, vanity, toilet, trim and accessories. Plumbing/electric, fixtures and tile billed separately.</t>
        </is>
      </c>
    </row>
    <row r="44">
      <c r="A44" t="inlineStr">
        <is>
          <t>RES</t>
        </is>
      </c>
      <c r="B44" t="inlineStr">
        <is>
          <t>Interior Remodel - Flooring</t>
        </is>
      </c>
      <c r="C44" t="inlineStr">
        <is>
          <t>LVP / Laminate - Install</t>
        </is>
      </c>
      <c r="D44" t="inlineStr">
        <is>
          <t>Sq Ft</t>
        </is>
      </c>
      <c r="E44" s="6" t="n">
        <v>3.98</v>
      </c>
      <c r="F44" s="6" t="n">
        <v>2.38</v>
      </c>
      <c r="G44" s="7">
        <f>IF(E44=0,0,(E44-F44)/E44)</f>
        <v/>
      </c>
      <c r="H44" s="14" t="n">
        <v>0.0879396984924623</v>
      </c>
      <c r="I44" t="inlineStr">
        <is>
          <t>Install floating LVP or laminate incl. underlayment and transitions. Flooring via Materials line.</t>
        </is>
      </c>
    </row>
    <row r="45">
      <c r="A45" t="inlineStr">
        <is>
          <t>RES</t>
        </is>
      </c>
      <c r="B45" t="inlineStr">
        <is>
          <t>Interior Remodel - Flooring</t>
        </is>
      </c>
      <c r="C45" t="inlineStr">
        <is>
          <t>Hardwood - Nail-Down Install</t>
        </is>
      </c>
      <c r="D45" t="inlineStr">
        <is>
          <t>Sq Ft</t>
        </is>
      </c>
      <c r="E45" s="6" t="n">
        <v>6.35</v>
      </c>
      <c r="F45" s="6" t="n">
        <v>3.79</v>
      </c>
      <c r="G45" s="7">
        <f>IF(E45=0,0,(E45-F45)/E45)</f>
        <v/>
      </c>
      <c r="H45" s="14" t="n">
        <v>0.06299212598425198</v>
      </c>
      <c r="I45" t="inlineStr">
        <is>
          <t>Install solid or engineered hardwood incl. paper and fasteners. Flooring via Materials line.</t>
        </is>
      </c>
    </row>
    <row r="46">
      <c r="A46" t="inlineStr">
        <is>
          <t>RES</t>
        </is>
      </c>
      <c r="B46" t="inlineStr">
        <is>
          <t>Interior Remodel - Flooring</t>
        </is>
      </c>
      <c r="C46" t="inlineStr">
        <is>
          <t>Floor Leveling / Self-Leveler</t>
        </is>
      </c>
      <c r="D46" t="inlineStr">
        <is>
          <t>Sq Ft</t>
        </is>
      </c>
      <c r="E46" s="6" t="n">
        <v>3.43</v>
      </c>
      <c r="F46" s="6" t="n">
        <v>2.11</v>
      </c>
      <c r="G46" s="7">
        <f>IF(E46=0,0,(E46-F46)/E46)</f>
        <v/>
      </c>
      <c r="H46" s="14" t="n">
        <v>0.2186588921282799</v>
      </c>
      <c r="I46" t="inlineStr">
        <is>
          <t>Grind high spots and pour self-leveling compound.</t>
        </is>
      </c>
    </row>
    <row r="47">
      <c r="A47" t="inlineStr">
        <is>
          <t>RES</t>
        </is>
      </c>
      <c r="B47" t="inlineStr">
        <is>
          <t>Interior Remodel - Flooring</t>
        </is>
      </c>
      <c r="C47" t="inlineStr">
        <is>
          <t>Subfloor - Replace (per 4x8 sheet)</t>
        </is>
      </c>
      <c r="D47" t="inlineStr">
        <is>
          <t>Each</t>
        </is>
      </c>
      <c r="E47" s="6" t="n">
        <v>255</v>
      </c>
      <c r="F47" s="6" t="n">
        <v>156.72</v>
      </c>
      <c r="G47" s="7">
        <f>IF(E47=0,0,(E47-F47)/E47)</f>
        <v/>
      </c>
      <c r="H47" s="14" t="n">
        <v>0.2156862745098039</v>
      </c>
      <c r="I47" t="inlineStr">
        <is>
          <t>Remove damaged subfloor and install 3/4" T&amp;G plywood, glued and screwed.</t>
        </is>
      </c>
    </row>
    <row r="48">
      <c r="A48" t="inlineStr">
        <is>
          <t>RES</t>
        </is>
      </c>
      <c r="B48" t="inlineStr">
        <is>
          <t>Interior Remodel - Flooring</t>
        </is>
      </c>
      <c r="C48" t="inlineStr">
        <is>
          <t>Shoe Molding / Quarter Round</t>
        </is>
      </c>
      <c r="D48" t="inlineStr">
        <is>
          <t>Lin Ft</t>
        </is>
      </c>
      <c r="E48" s="6" t="n">
        <v>4.58</v>
      </c>
      <c r="F48" s="6" t="n">
        <v>2.78</v>
      </c>
      <c r="G48" s="7">
        <f>IF(E48=0,0,(E48-F48)/E48)</f>
        <v/>
      </c>
      <c r="H48" s="14" t="n">
        <v>0.1637554585152838</v>
      </c>
      <c r="I48" t="inlineStr">
        <is>
          <t>Supply and install shoe molding or quarter round after flooring.</t>
        </is>
      </c>
    </row>
    <row r="49">
      <c r="A49" t="inlineStr">
        <is>
          <t>RES</t>
        </is>
      </c>
      <c r="B49" t="inlineStr">
        <is>
          <t>Handyman</t>
        </is>
      </c>
      <c r="C49" t="inlineStr">
        <is>
          <t>TV Wall Mount - Install</t>
        </is>
      </c>
      <c r="D49" t="inlineStr">
        <is>
          <t>Each</t>
        </is>
      </c>
      <c r="E49" s="6" t="n">
        <v>188</v>
      </c>
      <c r="F49" s="6" t="n">
        <v>111.72</v>
      </c>
      <c r="G49" s="7">
        <f>IF(E49=0,0,(E49-F49)/E49)</f>
        <v/>
      </c>
      <c r="H49" s="14" t="n">
        <v>0.05319148936170213</v>
      </c>
      <c r="I49" t="inlineStr">
        <is>
          <t>Mount customer-supplied TV and bracket on drywall/studs, conceal cables where possible.</t>
        </is>
      </c>
    </row>
    <row r="50">
      <c r="A50" t="inlineStr">
        <is>
          <t>RES</t>
        </is>
      </c>
      <c r="B50" t="inlineStr">
        <is>
          <t>Handyman</t>
        </is>
      </c>
      <c r="C50" t="inlineStr">
        <is>
          <t>Light Fixture - Replace</t>
        </is>
      </c>
      <c r="D50" t="inlineStr">
        <is>
          <t>Each</t>
        </is>
      </c>
      <c r="E50" s="6" t="n">
        <v>130</v>
      </c>
      <c r="F50" s="6" t="n">
        <v>77.81</v>
      </c>
      <c r="G50" s="7">
        <f>IF(E50=0,0,(E50-F50)/E50)</f>
        <v/>
      </c>
      <c r="H50" s="14" t="n">
        <v>0.07692307692307693</v>
      </c>
      <c r="I50" t="inlineStr">
        <is>
          <t>Replace existing light fixture on existing box (like-for-like).</t>
        </is>
      </c>
    </row>
    <row r="51">
      <c r="A51" t="inlineStr">
        <is>
          <t>RES</t>
        </is>
      </c>
      <c r="B51" t="inlineStr">
        <is>
          <t>Handyman</t>
        </is>
      </c>
      <c r="C51" t="inlineStr">
        <is>
          <t>Ceiling Fan - Replace</t>
        </is>
      </c>
      <c r="D51" t="inlineStr">
        <is>
          <t>Each</t>
        </is>
      </c>
      <c r="E51" s="6" t="n">
        <v>253</v>
      </c>
      <c r="F51" s="6" t="n">
        <v>150.62</v>
      </c>
      <c r="G51" s="7">
        <f>IF(E51=0,0,(E51-F51)/E51)</f>
        <v/>
      </c>
      <c r="H51" s="14" t="n">
        <v>0.05928853754940711</v>
      </c>
      <c r="I51" t="inlineStr">
        <is>
          <t>Replace existing fixture/fan on fan-rated box (like-for-like).</t>
        </is>
      </c>
    </row>
    <row r="52">
      <c r="A52" t="inlineStr">
        <is>
          <t>RES</t>
        </is>
      </c>
      <c r="B52" t="inlineStr">
        <is>
          <t>Handyman</t>
        </is>
      </c>
      <c r="C52" t="inlineStr">
        <is>
          <t>Faucet - Replace</t>
        </is>
      </c>
      <c r="D52" t="inlineStr">
        <is>
          <t>Each</t>
        </is>
      </c>
      <c r="E52" s="6" t="n">
        <v>195</v>
      </c>
      <c r="F52" s="6" t="n">
        <v>116.72</v>
      </c>
      <c r="G52" s="7">
        <f>IF(E52=0,0,(E52-F52)/E52)</f>
        <v/>
      </c>
      <c r="H52" s="14" t="n">
        <v>0.07692307692307693</v>
      </c>
      <c r="I52" t="inlineStr">
        <is>
          <t>Replace kitchen or bath faucet incl. supply lines.</t>
        </is>
      </c>
    </row>
    <row r="53">
      <c r="A53" t="inlineStr">
        <is>
          <t>RES</t>
        </is>
      </c>
      <c r="B53" t="inlineStr">
        <is>
          <t>Handyman</t>
        </is>
      </c>
      <c r="C53" t="inlineStr">
        <is>
          <t>Garbage Disposal - Replace</t>
        </is>
      </c>
      <c r="D53" t="inlineStr">
        <is>
          <t>Each</t>
        </is>
      </c>
      <c r="E53" s="6" t="n">
        <v>195</v>
      </c>
      <c r="F53" s="6" t="n">
        <v>116.72</v>
      </c>
      <c r="G53" s="7">
        <f>IF(E53=0,0,(E53-F53)/E53)</f>
        <v/>
      </c>
      <c r="H53" s="14" t="n">
        <v>0.07692307692307693</v>
      </c>
      <c r="I53" t="inlineStr">
        <is>
          <t>Replace existing disposal (like-for-like).</t>
        </is>
      </c>
    </row>
    <row r="54">
      <c r="A54" t="inlineStr">
        <is>
          <t>RES</t>
        </is>
      </c>
      <c r="B54" t="inlineStr">
        <is>
          <t>Handyman</t>
        </is>
      </c>
      <c r="C54" t="inlineStr">
        <is>
          <t>Tub / Shower Re-Caulk</t>
        </is>
      </c>
      <c r="D54" t="inlineStr">
        <is>
          <t>Each</t>
        </is>
      </c>
      <c r="E54" s="6" t="n">
        <v>195</v>
      </c>
      <c r="F54" s="6" t="n">
        <v>116.72</v>
      </c>
      <c r="G54" s="7">
        <f>IF(E54=0,0,(E54-F54)/E54)</f>
        <v/>
      </c>
      <c r="H54" s="14" t="n">
        <v>0.07692307692307693</v>
      </c>
      <c r="I54" t="inlineStr">
        <is>
          <t>Remove old caulk, clean and re-caulk tub or shower with mildew-resistant silicone.</t>
        </is>
      </c>
    </row>
    <row r="55">
      <c r="A55" t="inlineStr">
        <is>
          <t>RES</t>
        </is>
      </c>
      <c r="B55" t="inlineStr">
        <is>
          <t>Handyman</t>
        </is>
      </c>
      <c r="C55" t="inlineStr">
        <is>
          <t>Grab Bar - Install</t>
        </is>
      </c>
      <c r="D55" t="inlineStr">
        <is>
          <t>Each</t>
        </is>
      </c>
      <c r="E55" s="6" t="n">
        <v>138</v>
      </c>
      <c r="F55" s="6" t="n">
        <v>82.81</v>
      </c>
      <c r="G55" s="7">
        <f>IF(E55=0,0,(E55-F55)/E55)</f>
        <v/>
      </c>
      <c r="H55" s="14" t="n">
        <v>0.108695652173913</v>
      </c>
      <c r="I55" t="inlineStr">
        <is>
          <t>Install ADA grab bar into blocking/studs or with rated anchors.</t>
        </is>
      </c>
    </row>
    <row r="56">
      <c r="A56" t="inlineStr">
        <is>
          <t>RES</t>
        </is>
      </c>
      <c r="B56" t="inlineStr">
        <is>
          <t>Handyman</t>
        </is>
      </c>
      <c r="C56" t="inlineStr">
        <is>
          <t>Smoke / CO Detector - Install</t>
        </is>
      </c>
      <c r="D56" t="inlineStr">
        <is>
          <t>Each</t>
        </is>
      </c>
      <c r="E56" s="6" t="n">
        <v>29</v>
      </c>
      <c r="F56" s="6" t="n">
        <v>16.95</v>
      </c>
      <c r="G56" s="7">
        <f>IF(E56=0,0,(E56-F56)/E56)</f>
        <v/>
      </c>
      <c r="H56" s="14" t="n">
        <v>0</v>
      </c>
      <c r="I56" t="inlineStr">
        <is>
          <t>Install or replace battery or hardwired detector (unit via Materials line).</t>
        </is>
      </c>
    </row>
    <row r="57">
      <c r="A57" t="inlineStr">
        <is>
          <t>RES</t>
        </is>
      </c>
      <c r="B57" t="inlineStr">
        <is>
          <t>Handyman</t>
        </is>
      </c>
      <c r="C57" t="inlineStr">
        <is>
          <t>Door - Adjust / Plane / Rehang</t>
        </is>
      </c>
      <c r="D57" t="inlineStr">
        <is>
          <t>Each</t>
        </is>
      </c>
      <c r="E57" s="6" t="n">
        <v>123</v>
      </c>
      <c r="F57" s="6" t="n">
        <v>72.81</v>
      </c>
      <c r="G57" s="7">
        <f>IF(E57=0,0,(E57-F57)/E57)</f>
        <v/>
      </c>
      <c r="H57" s="14" t="n">
        <v>0.04065040650406504</v>
      </c>
      <c r="I57" t="inlineStr">
        <is>
          <t>Adjust hinges, plane and re-hang sticking interior or exterior door.</t>
        </is>
      </c>
    </row>
    <row r="58">
      <c r="A58" t="inlineStr">
        <is>
          <t>RES</t>
        </is>
      </c>
      <c r="B58" t="inlineStr">
        <is>
          <t>Handyman</t>
        </is>
      </c>
      <c r="C58" t="inlineStr">
        <is>
          <t>Weatherstrip &amp; Door Sweep</t>
        </is>
      </c>
      <c r="D58" t="inlineStr">
        <is>
          <t>Each</t>
        </is>
      </c>
      <c r="E58" s="6" t="n">
        <v>153</v>
      </c>
      <c r="F58" s="6" t="n">
        <v>92.81</v>
      </c>
      <c r="G58" s="7">
        <f>IF(E58=0,0,(E58-F58)/E58)</f>
        <v/>
      </c>
      <c r="H58" s="14" t="n">
        <v>0.1633986928104575</v>
      </c>
      <c r="I58" t="inlineStr">
        <is>
          <t>Replace weatherstripping and door sweep on one exterior door.</t>
        </is>
      </c>
    </row>
    <row r="59">
      <c r="A59" t="inlineStr">
        <is>
          <t>RES</t>
        </is>
      </c>
      <c r="B59" t="inlineStr">
        <is>
          <t>Handyman</t>
        </is>
      </c>
      <c r="C59" t="inlineStr">
        <is>
          <t>Storm Door - Install</t>
        </is>
      </c>
      <c r="D59" t="inlineStr">
        <is>
          <t>Each</t>
        </is>
      </c>
      <c r="E59" s="6" t="n">
        <v>498</v>
      </c>
      <c r="F59" s="6" t="n">
        <v>296.25</v>
      </c>
      <c r="G59" s="7">
        <f>IF(E59=0,0,(E59-F59)/E59)</f>
        <v/>
      </c>
      <c r="H59" s="14" t="n">
        <v>0.05020080321285141</v>
      </c>
      <c r="I59" t="inlineStr">
        <is>
          <t>Install customer- or allowance-supplied storm door. Door via Materials line.</t>
        </is>
      </c>
    </row>
    <row r="60">
      <c r="A60" t="inlineStr">
        <is>
          <t>RES</t>
        </is>
      </c>
      <c r="B60" t="inlineStr">
        <is>
          <t>Handyman</t>
        </is>
      </c>
      <c r="C60" t="inlineStr">
        <is>
          <t>Window / Door Screen - Rescreen</t>
        </is>
      </c>
      <c r="D60" t="inlineStr">
        <is>
          <t>Each</t>
        </is>
      </c>
      <c r="E60" s="6" t="n">
        <v>145</v>
      </c>
      <c r="F60" s="6" t="n">
        <v>87.81</v>
      </c>
      <c r="G60" s="7">
        <f>IF(E60=0,0,(E60-F60)/E60)</f>
        <v/>
      </c>
      <c r="H60" s="14" t="n">
        <v>0.1379310344827586</v>
      </c>
      <c r="I60" t="inlineStr">
        <is>
          <t>Rescreen one window or door screen.</t>
        </is>
      </c>
    </row>
    <row r="61">
      <c r="A61" t="inlineStr">
        <is>
          <t>RES</t>
        </is>
      </c>
      <c r="B61" t="inlineStr">
        <is>
          <t>Handyman</t>
        </is>
      </c>
      <c r="C61" t="inlineStr">
        <is>
          <t>Shelving / Curtain Rods / Pictures (per hr)</t>
        </is>
      </c>
      <c r="D61" t="inlineStr">
        <is>
          <t>Hour</t>
        </is>
      </c>
      <c r="E61" s="6" t="n">
        <v>123</v>
      </c>
      <c r="F61" s="6" t="n">
        <v>72.81</v>
      </c>
      <c r="G61" s="7">
        <f>IF(E61=0,0,(E61-F61)/E61)</f>
        <v/>
      </c>
      <c r="H61" s="14" t="n">
        <v>0.04065040650406504</v>
      </c>
      <c r="I61" t="inlineStr">
        <is>
          <t>Hang shelves, curtain rods, mirrors and pictures.</t>
        </is>
      </c>
    </row>
    <row r="62">
      <c r="A62" t="inlineStr">
        <is>
          <t>RES</t>
        </is>
      </c>
      <c r="B62" t="inlineStr">
        <is>
          <t>Handyman</t>
        </is>
      </c>
      <c r="C62" t="inlineStr">
        <is>
          <t>Furniture / Equipment Assembly (per hr)</t>
        </is>
      </c>
      <c r="D62" t="inlineStr">
        <is>
          <t>Hour</t>
        </is>
      </c>
      <c r="E62" s="6" t="n">
        <v>115</v>
      </c>
      <c r="F62" s="6" t="n">
        <v>67.81</v>
      </c>
      <c r="G62" s="7">
        <f>IF(E62=0,0,(E62-F62)/E62)</f>
        <v/>
      </c>
      <c r="H62" s="14" t="n">
        <v>0</v>
      </c>
      <c r="I62" t="inlineStr">
        <is>
          <t>Assemble furniture, playsets or equipment.</t>
        </is>
      </c>
    </row>
    <row r="63">
      <c r="A63" t="inlineStr">
        <is>
          <t>RES</t>
        </is>
      </c>
      <c r="B63" t="inlineStr">
        <is>
          <t>Handyman</t>
        </is>
      </c>
      <c r="C63" t="inlineStr">
        <is>
          <t>Gutter Cleaning - Single Story</t>
        </is>
      </c>
      <c r="D63" t="inlineStr">
        <is>
          <t>Each</t>
        </is>
      </c>
      <c r="E63" s="6" t="n">
        <v>303</v>
      </c>
      <c r="F63" s="6" t="n">
        <v>179.53</v>
      </c>
      <c r="G63" s="7">
        <f>IF(E63=0,0,(E63-F63)/E63)</f>
        <v/>
      </c>
      <c r="H63" s="14" t="n">
        <v>0.033003300330033</v>
      </c>
      <c r="I63" t="inlineStr">
        <is>
          <t>Clean gutters and flush downspouts, single-story home up to 150 LF.</t>
        </is>
      </c>
    </row>
    <row r="64">
      <c r="A64" t="inlineStr">
        <is>
          <t>RES</t>
        </is>
      </c>
      <c r="B64" t="inlineStr">
        <is>
          <t>Handyman</t>
        </is>
      </c>
      <c r="C64" t="inlineStr">
        <is>
          <t>Mailbox &amp; Post - Replace</t>
        </is>
      </c>
      <c r="D64" t="inlineStr">
        <is>
          <t>Each</t>
        </is>
      </c>
      <c r="E64" s="6" t="n">
        <v>275</v>
      </c>
      <c r="F64" s="6" t="n">
        <v>165.62</v>
      </c>
      <c r="G64" s="7">
        <f>IF(E64=0,0,(E64-F64)/E64)</f>
        <v/>
      </c>
      <c r="H64" s="14" t="n">
        <v>0.1090909090909091</v>
      </c>
      <c r="I64" t="inlineStr">
        <is>
          <t>Remove old post, set new post in concrete and mount mailbox (mailbox via Materials line).</t>
        </is>
      </c>
    </row>
    <row r="65">
      <c r="A65" t="inlineStr">
        <is>
          <t>RES</t>
        </is>
      </c>
      <c r="B65" t="inlineStr">
        <is>
          <t>Outdoor Remodel - Decks</t>
        </is>
      </c>
      <c r="C65" t="inlineStr">
        <is>
          <t>Deck - Pressure-Treated, Built New</t>
        </is>
      </c>
      <c r="D65" t="inlineStr">
        <is>
          <t>Sq Ft</t>
        </is>
      </c>
      <c r="E65" s="6" t="n">
        <v>49</v>
      </c>
      <c r="F65" s="6" t="n">
        <v>29.84</v>
      </c>
      <c r="G65" s="7">
        <f>IF(E65=0,0,(E65-F65)/E65)</f>
        <v/>
      </c>
      <c r="H65" s="14" t="n">
        <v>0.1938775510204082</v>
      </c>
      <c r="I65" t="inlineStr">
        <is>
          <t>New PT deck: footings, framing, joist tape, decking and hardware. Railing and stairs separate.</t>
        </is>
      </c>
    </row>
    <row r="66">
      <c r="A66" t="inlineStr">
        <is>
          <t>RES</t>
        </is>
      </c>
      <c r="B66" t="inlineStr">
        <is>
          <t>Outdoor Remodel - Decks</t>
        </is>
      </c>
      <c r="C66" t="inlineStr">
        <is>
          <t>Deck - Composite Decking Install (labor)</t>
        </is>
      </c>
      <c r="D66" t="inlineStr">
        <is>
          <t>Sq Ft</t>
        </is>
      </c>
      <c r="E66" s="6" t="n">
        <v>44</v>
      </c>
      <c r="F66" s="6" t="n">
        <v>25.73</v>
      </c>
      <c r="G66" s="7">
        <f>IF(E66=0,0,(E66-F66)/E66)</f>
        <v/>
      </c>
      <c r="H66" s="14" t="n">
        <v>0.04545454545454546</v>
      </c>
      <c r="I66" t="inlineStr">
        <is>
          <t>Install composite decking with hidden fasteners over new or existing framing. Composite via Materials line.</t>
        </is>
      </c>
    </row>
    <row r="67">
      <c r="A67" t="inlineStr">
        <is>
          <t>RES</t>
        </is>
      </c>
      <c r="B67" t="inlineStr">
        <is>
          <t>Outdoor Remodel - Decks</t>
        </is>
      </c>
      <c r="C67" t="inlineStr">
        <is>
          <t>Deck Board Replacement</t>
        </is>
      </c>
      <c r="D67" t="inlineStr">
        <is>
          <t>Sq Ft</t>
        </is>
      </c>
      <c r="E67" s="6" t="n">
        <v>23</v>
      </c>
      <c r="F67" s="6" t="n">
        <v>13.67</v>
      </c>
      <c r="G67" s="7">
        <f>IF(E67=0,0,(E67-F67)/E67)</f>
        <v/>
      </c>
      <c r="H67" s="14" t="n">
        <v>0.1521739130434783</v>
      </c>
      <c r="I67" t="inlineStr">
        <is>
          <t>Remove and replace PT deck boards, re-fasten with coated screws.</t>
        </is>
      </c>
    </row>
    <row r="68">
      <c r="A68" t="inlineStr">
        <is>
          <t>RES</t>
        </is>
      </c>
      <c r="B68" t="inlineStr">
        <is>
          <t>Outdoor Remodel - Decks</t>
        </is>
      </c>
      <c r="C68" t="inlineStr">
        <is>
          <t>Deck Railing - Pressure-Treated</t>
        </is>
      </c>
      <c r="D68" t="inlineStr">
        <is>
          <t>Lin Ft</t>
        </is>
      </c>
      <c r="E68" s="6" t="n">
        <v>96</v>
      </c>
      <c r="F68" s="6" t="n">
        <v>58.69</v>
      </c>
      <c r="G68" s="7">
        <f>IF(E68=0,0,(E68-F68)/E68)</f>
        <v/>
      </c>
      <c r="H68" s="14" t="n">
        <v>0.1875</v>
      </c>
      <c r="I68" t="inlineStr">
        <is>
          <t>Supply and install PT railing with 2x2 balusters, code height.</t>
        </is>
      </c>
    </row>
    <row r="69">
      <c r="A69" t="inlineStr">
        <is>
          <t>RES</t>
        </is>
      </c>
      <c r="B69" t="inlineStr">
        <is>
          <t>Outdoor Remodel - Decks</t>
        </is>
      </c>
      <c r="C69" t="inlineStr">
        <is>
          <t>Deck Stairs - Per Step</t>
        </is>
      </c>
      <c r="D69" t="inlineStr">
        <is>
          <t>Each</t>
        </is>
      </c>
      <c r="E69" s="6" t="n">
        <v>233</v>
      </c>
      <c r="F69" s="6" t="n">
        <v>141.72</v>
      </c>
      <c r="G69" s="7">
        <f>IF(E69=0,0,(E69-F69)/E69)</f>
        <v/>
      </c>
      <c r="H69" s="14" t="n">
        <v>0.1716738197424893</v>
      </c>
      <c r="I69" t="inlineStr">
        <is>
          <t>Supply and build PT stair step (stringers, tread, riser) up to 4' wide.</t>
        </is>
      </c>
    </row>
    <row r="70">
      <c r="A70" t="inlineStr">
        <is>
          <t>RES</t>
        </is>
      </c>
      <c r="B70" t="inlineStr">
        <is>
          <t>Outdoor Remodel - Decks</t>
        </is>
      </c>
      <c r="C70" t="inlineStr">
        <is>
          <t>Deck Tear-Off &amp; Removal</t>
        </is>
      </c>
      <c r="D70" t="inlineStr">
        <is>
          <t>Sq Ft</t>
        </is>
      </c>
      <c r="E70" s="6" t="n">
        <v>9.35</v>
      </c>
      <c r="F70" s="6" t="n">
        <v>5.52</v>
      </c>
      <c r="G70" s="7">
        <f>IF(E70=0,0,(E70-F70)/E70)</f>
        <v/>
      </c>
      <c r="H70" s="14" t="n">
        <v>0.0106951871657754</v>
      </c>
      <c r="I70" t="inlineStr">
        <is>
          <t>Demo existing deck and load debris. Dumpster billed separately.</t>
        </is>
      </c>
    </row>
    <row r="71">
      <c r="A71" t="inlineStr">
        <is>
          <t>RES</t>
        </is>
      </c>
      <c r="B71" t="inlineStr">
        <is>
          <t>Outdoor Remodel - Decks</t>
        </is>
      </c>
      <c r="C71" t="inlineStr">
        <is>
          <t>Deck Wash &amp; Seal</t>
        </is>
      </c>
      <c r="D71" t="inlineStr">
        <is>
          <t>Sq Ft</t>
        </is>
      </c>
      <c r="E71" s="6" t="n">
        <v>3.83</v>
      </c>
      <c r="F71" s="6" t="n">
        <v>2.28</v>
      </c>
      <c r="G71" s="7">
        <f>IF(E71=0,0,(E71-F71)/E71)</f>
        <v/>
      </c>
      <c r="H71" s="14" t="n">
        <v>0.06527415143603132</v>
      </c>
      <c r="I71" t="inlineStr">
        <is>
          <t>Pressure wash, brighten and apply penetrating stain/sealer.</t>
        </is>
      </c>
    </row>
    <row r="72">
      <c r="A72" t="inlineStr">
        <is>
          <t>RES</t>
        </is>
      </c>
      <c r="B72" t="inlineStr">
        <is>
          <t>Outdoor Remodel - Decks</t>
        </is>
      </c>
      <c r="C72" t="inlineStr">
        <is>
          <t>Pergola - PT 10x12</t>
        </is>
      </c>
      <c r="D72" t="inlineStr">
        <is>
          <t>Each</t>
        </is>
      </c>
      <c r="E72" s="6" t="n">
        <v>4560</v>
      </c>
      <c r="F72" s="6" t="n">
        <v>2827.5</v>
      </c>
      <c r="G72" s="7">
        <f>IF(E72=0,0,(E72-F72)/E72)</f>
        <v/>
      </c>
      <c r="H72" s="14" t="n">
        <v>0.2631578947368421</v>
      </c>
      <c r="I72" t="inlineStr">
        <is>
          <t>Build 10'x12' pressure-treated pergola on footings.</t>
        </is>
      </c>
    </row>
    <row r="73">
      <c r="A73" t="inlineStr">
        <is>
          <t>RES</t>
        </is>
      </c>
      <c r="B73" t="inlineStr">
        <is>
          <t>Outdoor Remodel - Fencing</t>
        </is>
      </c>
      <c r="C73" t="inlineStr">
        <is>
          <t>Fence - Wood Privacy 6' (supply &amp; install)</t>
        </is>
      </c>
      <c r="D73" t="inlineStr">
        <is>
          <t>Lin Ft</t>
        </is>
      </c>
      <c r="E73" s="6" t="n">
        <v>62</v>
      </c>
      <c r="F73" s="6" t="n">
        <v>38.95</v>
      </c>
      <c r="G73" s="7">
        <f>IF(E73=0,0,(E73-F73)/E73)</f>
        <v/>
      </c>
      <c r="H73" s="14" t="n">
        <v>0.3548387096774194</v>
      </c>
      <c r="I73" t="inlineStr">
        <is>
          <t>Supply and install 6' PT privacy fence, posts set in concrete.</t>
        </is>
      </c>
    </row>
    <row r="74">
      <c r="A74" t="inlineStr">
        <is>
          <t>RES</t>
        </is>
      </c>
      <c r="B74" t="inlineStr">
        <is>
          <t>Outdoor Remodel - Fencing</t>
        </is>
      </c>
      <c r="C74" t="inlineStr">
        <is>
          <t>Fence Post - Replace</t>
        </is>
      </c>
      <c r="D74" t="inlineStr">
        <is>
          <t>Each</t>
        </is>
      </c>
      <c r="E74" s="6" t="n">
        <v>298</v>
      </c>
      <c r="F74" s="6" t="n">
        <v>180.62</v>
      </c>
      <c r="G74" s="7">
        <f>IF(E74=0,0,(E74-F74)/E74)</f>
        <v/>
      </c>
      <c r="H74" s="14" t="n">
        <v>0.151006711409396</v>
      </c>
      <c r="I74" t="inlineStr">
        <is>
          <t>Dig out failed post and set new 4x4 PT post in concrete.</t>
        </is>
      </c>
    </row>
    <row r="75">
      <c r="A75" t="inlineStr">
        <is>
          <t>RES</t>
        </is>
      </c>
      <c r="B75" t="inlineStr">
        <is>
          <t>Outdoor Remodel - Fencing</t>
        </is>
      </c>
      <c r="C75" t="inlineStr">
        <is>
          <t>Fence Gate - Build &amp; Hang</t>
        </is>
      </c>
      <c r="D75" t="inlineStr">
        <is>
          <t>Each</t>
        </is>
      </c>
      <c r="E75" s="6" t="n">
        <v>685</v>
      </c>
      <c r="F75" s="6" t="n">
        <v>421.25</v>
      </c>
      <c r="G75" s="7">
        <f>IF(E75=0,0,(E75-F75)/E75)</f>
        <v/>
      </c>
      <c r="H75" s="14" t="n">
        <v>0.218978102189781</v>
      </c>
      <c r="I75" t="inlineStr">
        <is>
          <t>Build and hang 4' wood gate with hardware and latch.</t>
        </is>
      </c>
    </row>
    <row r="76">
      <c r="A76" t="inlineStr">
        <is>
          <t>RES</t>
        </is>
      </c>
      <c r="B76" t="inlineStr">
        <is>
          <t>Outdoor Remodel - Exterior Carpentry</t>
        </is>
      </c>
      <c r="C76" t="inlineStr">
        <is>
          <t>Exterior Trim / Fascia Rot Repair</t>
        </is>
      </c>
      <c r="D76" t="inlineStr">
        <is>
          <t>Lin Ft</t>
        </is>
      </c>
      <c r="E76" s="6" t="n">
        <v>42</v>
      </c>
      <c r="F76" s="6" t="n">
        <v>25.34</v>
      </c>
      <c r="G76" s="7">
        <f>IF(E76=0,0,(E76-F76)/E76)</f>
        <v/>
      </c>
      <c r="H76" s="14" t="n">
        <v>0.119047619047619</v>
      </c>
      <c r="I76" t="inlineStr">
        <is>
          <t>Remove rotted trim/fascia and replace with PVC or primed wood, ready for paint.</t>
        </is>
      </c>
    </row>
    <row r="77">
      <c r="A77" t="inlineStr">
        <is>
          <t>RES</t>
        </is>
      </c>
      <c r="B77" t="inlineStr">
        <is>
          <t>Outdoor Remodel - Exterior Carpentry</t>
        </is>
      </c>
      <c r="C77" t="inlineStr">
        <is>
          <t>Siding Repair</t>
        </is>
      </c>
      <c r="D77" t="inlineStr">
        <is>
          <t>Sq Ft</t>
        </is>
      </c>
      <c r="E77" s="6" t="n">
        <v>22</v>
      </c>
      <c r="F77" s="6" t="n">
        <v>13.17</v>
      </c>
      <c r="G77" s="7">
        <f>IF(E77=0,0,(E77-F77)/E77)</f>
        <v/>
      </c>
      <c r="H77" s="14" t="n">
        <v>0.1363636363636364</v>
      </c>
      <c r="I77" t="inlineStr">
        <is>
          <t>Remove and replace damaged siding sections to match as close as possible.</t>
        </is>
      </c>
    </row>
    <row r="78">
      <c r="A78" t="inlineStr">
        <is>
          <t>RES</t>
        </is>
      </c>
      <c r="B78" t="inlineStr">
        <is>
          <t>Outdoor Remodel - Exterior Carpentry</t>
        </is>
      </c>
      <c r="C78" t="inlineStr">
        <is>
          <t>Vinyl Siding - Install (per square)</t>
        </is>
      </c>
      <c r="D78" t="inlineStr">
        <is>
          <t>Square</t>
        </is>
      </c>
      <c r="E78" s="6" t="n">
        <v>960</v>
      </c>
      <c r="F78" s="6" t="n">
        <v>586.88</v>
      </c>
      <c r="G78" s="7">
        <f>IF(E78=0,0,(E78-F78)/E78)</f>
        <v/>
      </c>
      <c r="H78" s="14" t="n">
        <v>0.1875</v>
      </c>
      <c r="I78" t="inlineStr">
        <is>
          <t>Install vinyl siding per 100 sf incl. house wrap, J-channel and trim. Siding via Materials line.</t>
        </is>
      </c>
    </row>
    <row r="79">
      <c r="A79" t="inlineStr">
        <is>
          <t>RES</t>
        </is>
      </c>
      <c r="B79" t="inlineStr">
        <is>
          <t>Outdoor Remodel - Exterior Carpentry</t>
        </is>
      </c>
      <c r="C79" t="inlineStr">
        <is>
          <t>Exterior Door - Install Only</t>
        </is>
      </c>
      <c r="D79" t="inlineStr">
        <is>
          <t>Each</t>
        </is>
      </c>
      <c r="E79" s="6" t="n">
        <v>645</v>
      </c>
      <c r="F79" s="6" t="n">
        <v>384.06</v>
      </c>
      <c r="G79" s="7">
        <f>IF(E79=0,0,(E79-F79)/E79)</f>
        <v/>
      </c>
      <c r="H79" s="14" t="n">
        <v>0.06976744186046512</v>
      </c>
      <c r="I79" t="inlineStr">
        <is>
          <t>Install prehung exterior door, flash, insulate, trim. Door via Materials line.</t>
        </is>
      </c>
    </row>
    <row r="80">
      <c r="A80" t="inlineStr">
        <is>
          <t>RES</t>
        </is>
      </c>
      <c r="B80" t="inlineStr">
        <is>
          <t>Outdoor Remodel - Exterior Carpentry</t>
        </is>
      </c>
      <c r="C80" t="inlineStr">
        <is>
          <t>Replacement Window - Install Only</t>
        </is>
      </c>
      <c r="D80" t="inlineStr">
        <is>
          <t>Each</t>
        </is>
      </c>
      <c r="E80" s="6" t="n">
        <v>325</v>
      </c>
      <c r="F80" s="6" t="n">
        <v>194.53</v>
      </c>
      <c r="G80" s="7">
        <f>IF(E80=0,0,(E80-F80)/E80)</f>
        <v/>
      </c>
      <c r="H80" s="14" t="n">
        <v>0.07692307692307693</v>
      </c>
      <c r="I80" t="inlineStr">
        <is>
          <t>Install insert replacement window, insulate, caulk, interior trim. Window via Materials line.</t>
        </is>
      </c>
    </row>
    <row r="81">
      <c r="A81" t="inlineStr">
        <is>
          <t>RES</t>
        </is>
      </c>
      <c r="B81" t="inlineStr">
        <is>
          <t>Outdoor Remodel - Hardscape</t>
        </is>
      </c>
      <c r="C81" t="inlineStr">
        <is>
          <t>Paver Patio / Walkway</t>
        </is>
      </c>
      <c r="D81" t="inlineStr">
        <is>
          <t>Sq Ft</t>
        </is>
      </c>
      <c r="E81" s="6" t="n">
        <v>38</v>
      </c>
      <c r="F81" s="6" t="n">
        <v>22.95</v>
      </c>
      <c r="G81" s="7">
        <f>IF(E81=0,0,(E81-F81)/E81)</f>
        <v/>
      </c>
      <c r="H81" s="14" t="n">
        <v>0.1578947368421053</v>
      </c>
      <c r="I81" t="inlineStr">
        <is>
          <t>Excavate, compacted base, sand, standard pavers and polymeric sand.</t>
        </is>
      </c>
    </row>
    <row r="82">
      <c r="A82" t="inlineStr">
        <is>
          <t>RES</t>
        </is>
      </c>
      <c r="B82" t="inlineStr">
        <is>
          <t>Outdoor Remodel - Hardscape</t>
        </is>
      </c>
      <c r="C82" t="inlineStr">
        <is>
          <t>Segmental Retaining Wall</t>
        </is>
      </c>
      <c r="D82" t="inlineStr">
        <is>
          <t>Sq Ft</t>
        </is>
      </c>
      <c r="E82" s="6" t="n">
        <v>67</v>
      </c>
      <c r="F82" s="6" t="n">
        <v>41.12</v>
      </c>
      <c r="G82" s="7">
        <f>IF(E82=0,0,(E82-F82)/E82)</f>
        <v/>
      </c>
      <c r="H82" s="14" t="n">
        <v>0.208955223880597</v>
      </c>
      <c r="I82" t="inlineStr">
        <is>
          <t>Block retaining wall per sf of face, gravel base and drainage, under 3' tall.</t>
        </is>
      </c>
    </row>
    <row r="83">
      <c r="A83" t="inlineStr">
        <is>
          <t>RES</t>
        </is>
      </c>
      <c r="B83" t="inlineStr">
        <is>
          <t>Outdoor Remodel - Hardscape</t>
        </is>
      </c>
      <c r="C83" t="inlineStr">
        <is>
          <t>Grading / Topsoil &amp; Seed</t>
        </is>
      </c>
      <c r="D83" t="inlineStr">
        <is>
          <t>Sq Ft</t>
        </is>
      </c>
      <c r="E83" s="6" t="n">
        <v>2.53</v>
      </c>
      <c r="F83" s="6" t="n">
        <v>1.51</v>
      </c>
      <c r="G83" s="7">
        <f>IF(E83=0,0,(E83-F83)/E83)</f>
        <v/>
      </c>
      <c r="H83" s="14" t="n">
        <v>0.05928853754940712</v>
      </c>
      <c r="I83" t="inlineStr">
        <is>
          <t>Rough grade, topsoil and seed/straw disturbed areas.</t>
        </is>
      </c>
    </row>
    <row r="84">
      <c r="A84" t="inlineStr">
        <is>
          <t>RES</t>
        </is>
      </c>
      <c r="B84" t="inlineStr">
        <is>
          <t>Concrete</t>
        </is>
      </c>
      <c r="C84" t="inlineStr">
        <is>
          <t>Concrete Patio / Slab - 4" Broom Finish</t>
        </is>
      </c>
      <c r="D84" t="inlineStr">
        <is>
          <t>Sq Ft</t>
        </is>
      </c>
      <c r="E84" s="6" t="n">
        <v>14.85</v>
      </c>
      <c r="F84" s="6" t="n">
        <v>9.449999999999999</v>
      </c>
      <c r="G84" s="7">
        <f>IF(E84=0,0,(E84-F84)/E84)</f>
        <v/>
      </c>
      <c r="H84" s="14" t="n">
        <v>0</v>
      </c>
      <c r="I84" t="inlineStr">
        <is>
          <t>4" 3500 PSI slab on compacted stone, wire mesh, control joints, broom finish.</t>
        </is>
      </c>
    </row>
    <row r="85">
      <c r="A85" t="inlineStr">
        <is>
          <t>RES</t>
        </is>
      </c>
      <c r="B85" t="inlineStr">
        <is>
          <t>Concrete</t>
        </is>
      </c>
      <c r="C85" t="inlineStr">
        <is>
          <t>Concrete Driveway - 5" w/ Rebar</t>
        </is>
      </c>
      <c r="D85" t="inlineStr">
        <is>
          <t>Sq Ft</t>
        </is>
      </c>
      <c r="E85" s="6" t="n">
        <v>17.33</v>
      </c>
      <c r="F85" s="6" t="n">
        <v>11.03</v>
      </c>
      <c r="G85" s="7">
        <f>IF(E85=0,0,(E85-F85)/E85)</f>
        <v/>
      </c>
      <c r="H85" s="14" t="n">
        <v>0</v>
      </c>
      <c r="I85" t="inlineStr">
        <is>
          <t>5" 4000 PSI driveway with rebar/fiber, compacted base, broom finish.</t>
        </is>
      </c>
    </row>
    <row r="86">
      <c r="A86" t="inlineStr">
        <is>
          <t>RES</t>
        </is>
      </c>
      <c r="B86" t="inlineStr">
        <is>
          <t>Concrete</t>
        </is>
      </c>
      <c r="C86" t="inlineStr">
        <is>
          <t>Concrete Sidewalk - 4' Wide</t>
        </is>
      </c>
      <c r="D86" t="inlineStr">
        <is>
          <t>Sq Ft</t>
        </is>
      </c>
      <c r="E86" s="6" t="n">
        <v>16.5</v>
      </c>
      <c r="F86" s="6" t="n">
        <v>10.5</v>
      </c>
      <c r="G86" s="7">
        <f>IF(E86=0,0,(E86-F86)/E86)</f>
        <v/>
      </c>
      <c r="H86" s="14" t="n">
        <v>0</v>
      </c>
      <c r="I86" t="inlineStr">
        <is>
          <t>4" sidewalk on compacted base, tooled joints, broom finish.</t>
        </is>
      </c>
    </row>
    <row r="87">
      <c r="A87" t="inlineStr">
        <is>
          <t>RES</t>
        </is>
      </c>
      <c r="B87" t="inlineStr">
        <is>
          <t>Concrete</t>
        </is>
      </c>
      <c r="C87" t="inlineStr">
        <is>
          <t>Stamped / Colored Concrete</t>
        </is>
      </c>
      <c r="D87" t="inlineStr">
        <is>
          <t>Sq Ft</t>
        </is>
      </c>
      <c r="E87" s="6" t="n">
        <v>25</v>
      </c>
      <c r="F87" s="6" t="n">
        <v>15.75</v>
      </c>
      <c r="G87" s="7">
        <f>IF(E87=0,0,(E87-F87)/E87)</f>
        <v/>
      </c>
      <c r="H87" s="14" t="n">
        <v>0</v>
      </c>
      <c r="I87" t="inlineStr">
        <is>
          <t>4" slab with integral color, stamp pattern, release and sealer.</t>
        </is>
      </c>
    </row>
    <row r="88">
      <c r="A88" t="inlineStr">
        <is>
          <t>RES</t>
        </is>
      </c>
      <c r="B88" t="inlineStr">
        <is>
          <t>Concrete</t>
        </is>
      </c>
      <c r="C88" t="inlineStr">
        <is>
          <t>Exposed Aggregate Concrete</t>
        </is>
      </c>
      <c r="D88" t="inlineStr">
        <is>
          <t>Sq Ft</t>
        </is>
      </c>
      <c r="E88" s="6" t="n">
        <v>22</v>
      </c>
      <c r="F88" s="6" t="n">
        <v>13.65</v>
      </c>
      <c r="G88" s="7">
        <f>IF(E88=0,0,(E88-F88)/E88)</f>
        <v/>
      </c>
      <c r="H88" s="14" t="n">
        <v>0</v>
      </c>
      <c r="I88" t="inlineStr">
        <is>
          <t>4" exposed aggregate slab, washed finish and sealer.</t>
        </is>
      </c>
    </row>
    <row r="89">
      <c r="A89" t="inlineStr">
        <is>
          <t>RES</t>
        </is>
      </c>
      <c r="B89" t="inlineStr">
        <is>
          <t>Concrete</t>
        </is>
      </c>
      <c r="C89" t="inlineStr">
        <is>
          <t>Concrete Steps - Per Step (up to 4' wide)</t>
        </is>
      </c>
      <c r="D89" t="inlineStr">
        <is>
          <t>Each</t>
        </is>
      </c>
      <c r="E89" s="6" t="n">
        <v>580</v>
      </c>
      <c r="F89" s="6" t="n">
        <v>367.5</v>
      </c>
      <c r="G89" s="7">
        <f>IF(E89=0,0,(E89-F89)/E89)</f>
        <v/>
      </c>
      <c r="H89" s="14" t="n">
        <v>0</v>
      </c>
      <c r="I89" t="inlineStr">
        <is>
          <t>Formed and poured concrete step with rebar, broom finish.</t>
        </is>
      </c>
    </row>
    <row r="90">
      <c r="A90" t="inlineStr">
        <is>
          <t>RES</t>
        </is>
      </c>
      <c r="B90" t="inlineStr">
        <is>
          <t>Concrete</t>
        </is>
      </c>
      <c r="C90" t="inlineStr">
        <is>
          <t>Concrete Footing (12"x24")</t>
        </is>
      </c>
      <c r="D90" t="inlineStr">
        <is>
          <t>Lin Ft</t>
        </is>
      </c>
      <c r="E90" s="6" t="n">
        <v>75</v>
      </c>
      <c r="F90" s="6" t="n">
        <v>47.25</v>
      </c>
      <c r="G90" s="7">
        <f>IF(E90=0,0,(E90-F90)/E90)</f>
        <v/>
      </c>
      <c r="H90" s="14" t="n">
        <v>0</v>
      </c>
      <c r="I90" t="inlineStr">
        <is>
          <t>Excavate and pour reinforced concrete footing.</t>
        </is>
      </c>
    </row>
    <row r="91">
      <c r="A91" t="inlineStr">
        <is>
          <t>RES</t>
        </is>
      </c>
      <c r="B91" t="inlineStr">
        <is>
          <t>Concrete</t>
        </is>
      </c>
      <c r="C91" t="inlineStr">
        <is>
          <t>Concrete Pad - AC / Shed / Generator</t>
        </is>
      </c>
      <c r="D91" t="inlineStr">
        <is>
          <t>Sq Ft</t>
        </is>
      </c>
      <c r="E91" s="6" t="n">
        <v>18.15</v>
      </c>
      <c r="F91" s="6" t="n">
        <v>11.55</v>
      </c>
      <c r="G91" s="7">
        <f>IF(E91=0,0,(E91-F91)/E91)</f>
        <v/>
      </c>
      <c r="H91" s="14" t="n">
        <v>0</v>
      </c>
      <c r="I91" t="inlineStr">
        <is>
          <t>Small 4" pad on compacted stone (small-job premium included).</t>
        </is>
      </c>
    </row>
    <row r="92">
      <c r="A92" t="inlineStr">
        <is>
          <t>RES</t>
        </is>
      </c>
      <c r="B92" t="inlineStr">
        <is>
          <t>Concrete</t>
        </is>
      </c>
      <c r="C92" t="inlineStr">
        <is>
          <t>Concrete Demo &amp; Removal</t>
        </is>
      </c>
      <c r="D92" t="inlineStr">
        <is>
          <t>Sq Ft</t>
        </is>
      </c>
      <c r="E92" s="6" t="n">
        <v>6.6</v>
      </c>
      <c r="F92" s="6" t="n">
        <v>4.2</v>
      </c>
      <c r="G92" s="7">
        <f>IF(E92=0,0,(E92-F92)/E92)</f>
        <v/>
      </c>
      <c r="H92" s="14" t="n">
        <v>0</v>
      </c>
      <c r="I92" t="inlineStr">
        <is>
          <t>Break out and haul away existing concrete up to 4" thick.</t>
        </is>
      </c>
    </row>
    <row r="93">
      <c r="A93" t="inlineStr">
        <is>
          <t>RES</t>
        </is>
      </c>
      <c r="B93" t="inlineStr">
        <is>
          <t>Concrete</t>
        </is>
      </c>
      <c r="C93" t="inlineStr">
        <is>
          <t>Concrete Pump Truck</t>
        </is>
      </c>
      <c r="D93" t="inlineStr">
        <is>
          <t>Each</t>
        </is>
      </c>
      <c r="E93" s="6" t="n">
        <v>1075</v>
      </c>
      <c r="F93" s="6" t="n">
        <v>682.5</v>
      </c>
      <c r="G93" s="7">
        <f>IF(E93=0,0,(E93-F93)/E93)</f>
        <v/>
      </c>
      <c r="H93" s="14" t="n">
        <v>0</v>
      </c>
      <c r="I93" t="inlineStr">
        <is>
          <t>Line or boom pump when truck access is not available.</t>
        </is>
      </c>
    </row>
    <row r="94">
      <c r="A94" t="inlineStr">
        <is>
          <t>RES</t>
        </is>
      </c>
      <c r="B94" t="inlineStr">
        <is>
          <t>Concrete</t>
        </is>
      </c>
      <c r="C94" t="inlineStr">
        <is>
          <t>Concrete Small Job Minimum</t>
        </is>
      </c>
      <c r="D94" t="inlineStr">
        <is>
          <t>Each</t>
        </is>
      </c>
      <c r="E94" s="6" t="n">
        <v>2475</v>
      </c>
      <c r="F94" s="6" t="n">
        <v>1575</v>
      </c>
      <c r="G94" s="7">
        <f>IF(E94=0,0,(E94-F94)/E94)</f>
        <v/>
      </c>
      <c r="H94" s="14" t="n">
        <v>0</v>
      </c>
      <c r="I94" t="inlineStr">
        <is>
          <t>Minimum charge for any concrete pour under ~100 sf.</t>
        </is>
      </c>
    </row>
    <row r="95">
      <c r="A95" t="inlineStr">
        <is>
          <t>RES</t>
        </is>
      </c>
      <c r="B95" t="inlineStr">
        <is>
          <t>Concrete</t>
        </is>
      </c>
      <c r="C95" t="inlineStr">
        <is>
          <t>Concrete Crack Repair</t>
        </is>
      </c>
      <c r="D95" t="inlineStr">
        <is>
          <t>Lin Ft</t>
        </is>
      </c>
      <c r="E95" s="6" t="n">
        <v>6.88</v>
      </c>
      <c r="F95" s="6" t="n">
        <v>4.14</v>
      </c>
      <c r="G95" s="7">
        <f>IF(E95=0,0,(E95-F95)/E95)</f>
        <v/>
      </c>
      <c r="H95" s="14" t="n">
        <v>0.1090116279069767</v>
      </c>
      <c r="I95" t="inlineStr">
        <is>
          <t>Rout, clean and fill cracks with flexible polyurethane sealant.</t>
        </is>
      </c>
    </row>
    <row r="96">
      <c r="A96" t="inlineStr">
        <is>
          <t>RES</t>
        </is>
      </c>
      <c r="B96" t="inlineStr">
        <is>
          <t>Concrete</t>
        </is>
      </c>
      <c r="C96" t="inlineStr">
        <is>
          <t>Concrete Clean &amp; Seal</t>
        </is>
      </c>
      <c r="D96" t="inlineStr">
        <is>
          <t>Sq Ft</t>
        </is>
      </c>
      <c r="E96" s="6" t="n">
        <v>1.61</v>
      </c>
      <c r="F96" s="6" t="n">
        <v>0.96</v>
      </c>
      <c r="G96" s="7">
        <f>IF(E96=0,0,(E96-F96)/E96)</f>
        <v/>
      </c>
      <c r="H96" s="14" t="n">
        <v>0.09316770186335403</v>
      </c>
      <c r="I96" t="inlineStr">
        <is>
          <t>Pressure wash and apply penetrating or acrylic sealer.</t>
        </is>
      </c>
    </row>
    <row r="97">
      <c r="A97" t="inlineStr">
        <is>
          <t>RES</t>
        </is>
      </c>
      <c r="B97" t="inlineStr">
        <is>
          <t>Terms &amp; Fees</t>
        </is>
      </c>
      <c r="C97" t="inlineStr">
        <is>
          <t>Net 30 Payment Terms Adjustment (per $100)</t>
        </is>
      </c>
      <c r="D97" t="inlineStr">
        <is>
          <t>$100</t>
        </is>
      </c>
      <c r="E97" s="6" t="n">
        <v>5</v>
      </c>
      <c r="F97" s="6" t="n">
        <v>0</v>
      </c>
      <c r="G97" s="7">
        <f>IF(E97=0,0,(E97-F97)/E97)</f>
        <v/>
      </c>
      <c r="H97" s="14" t="n">
        <v>0</v>
      </c>
      <c r="I97" t="inlineStr">
        <is>
          <t>Net 30 invoice terms add 5% to the contract. Qty = invoice subtotal / 100 (e.g. $24,000 = qty 240). Due-on-completion pricing does not include this line.</t>
        </is>
      </c>
    </row>
    <row r="98">
      <c r="A98" t="inlineStr">
        <is>
          <t>RES</t>
        </is>
      </c>
      <c r="B98" t="inlineStr">
        <is>
          <t>Terms &amp; Fees</t>
        </is>
      </c>
      <c r="C98" t="inlineStr">
        <is>
          <t>After-Hours / Weekend Premium (per labor hr)</t>
        </is>
      </c>
      <c r="D98" t="inlineStr">
        <is>
          <t>Hour</t>
        </is>
      </c>
      <c r="E98" s="6" t="n">
        <v>58</v>
      </c>
      <c r="F98" s="6" t="n">
        <v>30</v>
      </c>
      <c r="G98" s="7">
        <f>IF(E98=0,0,(E98-F98)/E98)</f>
        <v/>
      </c>
      <c r="H98" s="14" t="n">
        <v>0</v>
      </c>
      <c r="I98" t="inlineStr">
        <is>
          <t>Added per labor hour for work outside 7am-5pm Mon-Fri at the client's request.</t>
        </is>
      </c>
    </row>
    <row r="99">
      <c r="A99" t="inlineStr">
        <is>
          <t>COM</t>
        </is>
      </c>
      <c r="B99" t="inlineStr">
        <is>
          <t>Labor &amp; Rates</t>
        </is>
      </c>
      <c r="C99" t="inlineStr">
        <is>
          <t>Remodel Labor - Per Hour</t>
        </is>
      </c>
      <c r="D99" t="inlineStr">
        <is>
          <t>Hour</t>
        </is>
      </c>
      <c r="E99" s="6" t="n">
        <v>150</v>
      </c>
      <c r="F99" s="6" t="n">
        <v>74.38</v>
      </c>
      <c r="G99" s="7">
        <f>IF(E99=0,0,(E99-F99)/E99)</f>
        <v/>
      </c>
      <c r="H99" s="14" t="n">
        <v>0</v>
      </c>
      <c r="I99" t="inlineStr">
        <is>
          <t>Skilled remodel labor, per labor hour. Includes project management and supervision. Qty = total labor hours.</t>
        </is>
      </c>
    </row>
    <row r="100">
      <c r="A100" t="inlineStr">
        <is>
          <t>COM</t>
        </is>
      </c>
      <c r="B100" t="inlineStr">
        <is>
          <t>Labor &amp; Rates</t>
        </is>
      </c>
      <c r="C100" t="inlineStr">
        <is>
          <t>Remodel Labor - Crew Day (1 tech, 8 hrs)</t>
        </is>
      </c>
      <c r="D100" t="inlineStr">
        <is>
          <t>Day</t>
        </is>
      </c>
      <c r="E100" s="6" t="n">
        <v>1200</v>
      </c>
      <c r="F100" s="6" t="n">
        <v>595</v>
      </c>
      <c r="G100" s="7">
        <f>IF(E100=0,0,(E100-F100)/E100)</f>
        <v/>
      </c>
      <c r="H100" s="14" t="n">
        <v>0</v>
      </c>
      <c r="I100" t="inlineStr">
        <is>
          <t>One technician, 8-hour day. Includes project management. Qty = total labor days.</t>
        </is>
      </c>
    </row>
    <row r="101">
      <c r="A101" t="inlineStr">
        <is>
          <t>COM</t>
        </is>
      </c>
      <c r="B101" t="inlineStr">
        <is>
          <t>Labor &amp; Rates</t>
        </is>
      </c>
      <c r="C101" t="inlineStr">
        <is>
          <t>Remodel Labor - 2-Person Crew Day (16 hrs)</t>
        </is>
      </c>
      <c r="D101" t="inlineStr">
        <is>
          <t>Day</t>
        </is>
      </c>
      <c r="E101" s="6" t="n">
        <v>2400</v>
      </c>
      <c r="F101" s="6" t="n">
        <v>1190</v>
      </c>
      <c r="G101" s="7">
        <f>IF(E101=0,0,(E101-F101)/E101)</f>
        <v/>
      </c>
      <c r="H101" s="14" t="n">
        <v>0</v>
      </c>
      <c r="I101" t="inlineStr">
        <is>
          <t>Two-person crew, 8-hour day (16 labor hours). Includes project management.</t>
        </is>
      </c>
    </row>
    <row r="102">
      <c r="A102" t="inlineStr">
        <is>
          <t>COM</t>
        </is>
      </c>
      <c r="B102" t="inlineStr">
        <is>
          <t>Labor &amp; Rates</t>
        </is>
      </c>
      <c r="C102" t="inlineStr">
        <is>
          <t>Handyman - Service Call (first 2 hrs)</t>
        </is>
      </c>
      <c r="D102" t="inlineStr">
        <is>
          <t>Each</t>
        </is>
      </c>
      <c r="E102" s="6" t="n">
        <v>300</v>
      </c>
      <c r="F102" s="6" t="n">
        <v>148.75</v>
      </c>
      <c r="G102" s="7">
        <f>IF(E102=0,0,(E102-F102)/E102)</f>
        <v/>
      </c>
      <c r="H102" s="14" t="n">
        <v>0</v>
      </c>
      <c r="I102" t="inlineStr">
        <is>
          <t>Minimum handyman visit: trip and first 2 hours of labor. Materials billed separately.</t>
        </is>
      </c>
    </row>
    <row r="103">
      <c r="A103" t="inlineStr">
        <is>
          <t>COM</t>
        </is>
      </c>
      <c r="B103" t="inlineStr">
        <is>
          <t>Labor &amp; Rates</t>
        </is>
      </c>
      <c r="C103" t="inlineStr">
        <is>
          <t>Handyman - Additional Hour</t>
        </is>
      </c>
      <c r="D103" t="inlineStr">
        <is>
          <t>Hour</t>
        </is>
      </c>
      <c r="E103" s="6" t="n">
        <v>150</v>
      </c>
      <c r="F103" s="6" t="n">
        <v>74.38</v>
      </c>
      <c r="G103" s="7">
        <f>IF(E103=0,0,(E103-F103)/E103)</f>
        <v/>
      </c>
      <c r="H103" s="14" t="n">
        <v>0</v>
      </c>
      <c r="I103" t="inlineStr">
        <is>
          <t>Each additional handyman labor hour after the first 2.</t>
        </is>
      </c>
    </row>
    <row r="104">
      <c r="A104" t="inlineStr">
        <is>
          <t>COM</t>
        </is>
      </c>
      <c r="B104" t="inlineStr">
        <is>
          <t>Labor &amp; Rates</t>
        </is>
      </c>
      <c r="C104" t="inlineStr">
        <is>
          <t>Handyman - Half Day (4 hrs)</t>
        </is>
      </c>
      <c r="D104" t="inlineStr">
        <is>
          <t>Each</t>
        </is>
      </c>
      <c r="E104" s="6" t="n">
        <v>600</v>
      </c>
      <c r="F104" s="6" t="n">
        <v>297.5</v>
      </c>
      <c r="G104" s="7">
        <f>IF(E104=0,0,(E104-F104)/E104)</f>
        <v/>
      </c>
      <c r="H104" s="14" t="n">
        <v>0</v>
      </c>
      <c r="I104" t="inlineStr">
        <is>
          <t>Half-day handyman block for punch lists / honey-do lists. Materials billed separately.</t>
        </is>
      </c>
    </row>
    <row r="105">
      <c r="A105" t="inlineStr">
        <is>
          <t>COM</t>
        </is>
      </c>
      <c r="B105" t="inlineStr">
        <is>
          <t>Labor &amp; Rates</t>
        </is>
      </c>
      <c r="C105" t="inlineStr">
        <is>
          <t>Handyman - Full Day (8 hrs)</t>
        </is>
      </c>
      <c r="D105" t="inlineStr">
        <is>
          <t>Each</t>
        </is>
      </c>
      <c r="E105" s="6" t="n">
        <v>1200</v>
      </c>
      <c r="F105" s="6" t="n">
        <v>595</v>
      </c>
      <c r="G105" s="7">
        <f>IF(E105=0,0,(E105-F105)/E105)</f>
        <v/>
      </c>
      <c r="H105" s="14" t="n">
        <v>0</v>
      </c>
      <c r="I105" t="inlineStr">
        <is>
          <t>Full-day handyman block. Materials billed separately.</t>
        </is>
      </c>
    </row>
    <row r="106">
      <c r="A106" t="inlineStr">
        <is>
          <t>COM</t>
        </is>
      </c>
      <c r="B106" t="inlineStr">
        <is>
          <t>Materials &amp; Subcontractors</t>
        </is>
      </c>
      <c r="C106" t="inlineStr">
        <is>
          <t>Materials (per $1 of cost)</t>
        </is>
      </c>
      <c r="D106" t="inlineStr">
        <is>
          <t>$1</t>
        </is>
      </c>
      <c r="E106" s="6" t="n">
        <v>2</v>
      </c>
      <c r="F106" s="6" t="n">
        <v>1</v>
      </c>
      <c r="G106" s="7">
        <f>IF(E106=0,0,(E106-F106)/E106)</f>
        <v/>
      </c>
      <c r="H106" s="14" t="n">
        <v>0</v>
      </c>
      <c r="I106" t="inlineStr">
        <is>
          <t>Project materials at standard markup. Enter qty = material cost in dollars (e.g. $1,250 of materials = qty 1250).</t>
        </is>
      </c>
    </row>
    <row r="107">
      <c r="A107" t="inlineStr">
        <is>
          <t>COM</t>
        </is>
      </c>
      <c r="B107" t="inlineStr">
        <is>
          <t>Materials &amp; Subcontractors</t>
        </is>
      </c>
      <c r="C107" t="inlineStr">
        <is>
          <t>Specialty Subcontractor (per $1 of sub quote)</t>
        </is>
      </c>
      <c r="D107" t="inlineStr">
        <is>
          <t>$1</t>
        </is>
      </c>
      <c r="E107" s="6" t="n">
        <v>1.9</v>
      </c>
      <c r="F107" s="6" t="n">
        <v>1.08</v>
      </c>
      <c r="G107" s="7">
        <f>IF(E107=0,0,(E107-F107)/E107)</f>
        <v/>
      </c>
      <c r="H107" s="14" t="n">
        <v>0</v>
      </c>
      <c r="I107" t="inlineStr">
        <is>
          <t>Licensed specialty trades (electrical, plumbing, HVAC, countertops, glass). Qty = sub's quote in dollars. Includes coordination and PM.</t>
        </is>
      </c>
    </row>
    <row r="108">
      <c r="A108" t="inlineStr">
        <is>
          <t>COM</t>
        </is>
      </c>
      <c r="B108" t="inlineStr">
        <is>
          <t>Materials &amp; Subcontractors</t>
        </is>
      </c>
      <c r="C108" t="inlineStr">
        <is>
          <t>Dumpster - 10 Yard</t>
        </is>
      </c>
      <c r="D108" t="inlineStr">
        <is>
          <t>Each</t>
        </is>
      </c>
      <c r="E108" s="6" t="n">
        <v>850</v>
      </c>
      <c r="F108" s="6" t="n">
        <v>425</v>
      </c>
      <c r="G108" s="7">
        <f>IF(E108=0,0,(E108-F108)/E108)</f>
        <v/>
      </c>
      <c r="H108" s="14" t="n">
        <v>0</v>
      </c>
      <c r="I108" t="inlineStr">
        <is>
          <t>10-yard roll-off dumpster, delivery, pickup and disposal (small bath / single room).</t>
        </is>
      </c>
    </row>
    <row r="109">
      <c r="A109" t="inlineStr">
        <is>
          <t>COM</t>
        </is>
      </c>
      <c r="B109" t="inlineStr">
        <is>
          <t>Materials &amp; Subcontractors</t>
        </is>
      </c>
      <c r="C109" t="inlineStr">
        <is>
          <t>Dumpster - 20 Yard</t>
        </is>
      </c>
      <c r="D109" t="inlineStr">
        <is>
          <t>Each</t>
        </is>
      </c>
      <c r="E109" s="6" t="n">
        <v>1100</v>
      </c>
      <c r="F109" s="6" t="n">
        <v>550</v>
      </c>
      <c r="G109" s="7">
        <f>IF(E109=0,0,(E109-F109)/E109)</f>
        <v/>
      </c>
      <c r="H109" s="14" t="n">
        <v>0</v>
      </c>
      <c r="I109" t="inlineStr">
        <is>
          <t>20-yard roll-off dumpster, delivery, pickup and disposal (kitchen / multi-room / deck tear-off).</t>
        </is>
      </c>
    </row>
    <row r="110">
      <c r="A110" t="inlineStr">
        <is>
          <t>COM</t>
        </is>
      </c>
      <c r="B110" t="inlineStr">
        <is>
          <t>Materials &amp; Subcontractors</t>
        </is>
      </c>
      <c r="C110" t="inlineStr">
        <is>
          <t>Debris Haul-Away - Truckload</t>
        </is>
      </c>
      <c r="D110" t="inlineStr">
        <is>
          <t>Each</t>
        </is>
      </c>
      <c r="E110" s="6" t="n">
        <v>750</v>
      </c>
      <c r="F110" s="6" t="n">
        <v>373.12</v>
      </c>
      <c r="G110" s="7">
        <f>IF(E110=0,0,(E110-F110)/E110)</f>
        <v/>
      </c>
      <c r="H110" s="14" t="n">
        <v>0.2</v>
      </c>
      <c r="I110" t="inlineStr">
        <is>
          <t>Load, haul and dispose of one pickup/trailer load of construction debris. Includes dump fees.</t>
        </is>
      </c>
    </row>
    <row r="111">
      <c r="A111" t="inlineStr">
        <is>
          <t>COM</t>
        </is>
      </c>
      <c r="B111" t="inlineStr">
        <is>
          <t>Materials &amp; Subcontractors</t>
        </is>
      </c>
      <c r="C111" t="inlineStr">
        <is>
          <t>Permit Fee (pass-through, per $1)</t>
        </is>
      </c>
      <c r="D111" t="inlineStr">
        <is>
          <t>$1</t>
        </is>
      </c>
      <c r="E111" s="6" t="n">
        <v>1</v>
      </c>
      <c r="F111" s="6" t="n">
        <v>1</v>
      </c>
      <c r="G111" s="7">
        <f>IF(E111=0,0,(E111-F111)/E111)</f>
        <v/>
      </c>
      <c r="H111" s="14" t="n">
        <v>0</v>
      </c>
      <c r="I111" t="inlineStr">
        <is>
          <t>Municipal permit fees billed at cost. Qty = permit fee in dollars.</t>
        </is>
      </c>
    </row>
    <row r="112">
      <c r="A112" t="inlineStr">
        <is>
          <t>COM</t>
        </is>
      </c>
      <c r="B112" t="inlineStr">
        <is>
          <t>Materials &amp; Subcontractors</t>
        </is>
      </c>
      <c r="C112" t="inlineStr">
        <is>
          <t>Permit Acquisition &amp; Drawings Admin</t>
        </is>
      </c>
      <c r="D112" t="inlineStr">
        <is>
          <t>Each</t>
        </is>
      </c>
      <c r="E112" s="6" t="n">
        <v>330</v>
      </c>
      <c r="F112" s="6" t="n">
        <v>93.75</v>
      </c>
      <c r="G112" s="7">
        <f>IF(E112=0,0,(E112-F112)/E112)</f>
        <v/>
      </c>
      <c r="H112" s="14" t="n">
        <v>0</v>
      </c>
      <c r="I112" t="inlineStr">
        <is>
          <t>Prepare application, drawings/sketches, submit and schedule inspections with the township or city.</t>
        </is>
      </c>
    </row>
    <row r="113">
      <c r="A113" t="inlineStr">
        <is>
          <t>COM</t>
        </is>
      </c>
      <c r="B113" t="inlineStr">
        <is>
          <t>Interior Remodel - Demo &amp; Prep</t>
        </is>
      </c>
      <c r="C113" t="inlineStr">
        <is>
          <t>Demo - Kitchen (standard, up to 150 sf)</t>
        </is>
      </c>
      <c r="D113" t="inlineStr">
        <is>
          <t>Each</t>
        </is>
      </c>
      <c r="E113" s="6" t="n">
        <v>2550</v>
      </c>
      <c r="F113" s="6" t="n">
        <v>1265</v>
      </c>
      <c r="G113" s="7">
        <f>IF(E113=0,0,(E113-F113)/E113)</f>
        <v/>
      </c>
      <c r="H113" s="14" t="n">
        <v>0.02941176470588235</v>
      </c>
      <c r="I113" t="inlineStr">
        <is>
          <t>Remove cabinets, counters, backsplash and flooring; protect adjacent areas. Dumpster billed separately.</t>
        </is>
      </c>
    </row>
    <row r="114">
      <c r="A114" t="inlineStr">
        <is>
          <t>COM</t>
        </is>
      </c>
      <c r="B114" t="inlineStr">
        <is>
          <t>Interior Remodel - Demo &amp; Prep</t>
        </is>
      </c>
      <c r="C114" t="inlineStr">
        <is>
          <t>Demo - Full Bathroom (up to 60 sf)</t>
        </is>
      </c>
      <c r="D114" t="inlineStr">
        <is>
          <t>Each</t>
        </is>
      </c>
      <c r="E114" s="6" t="n">
        <v>1600</v>
      </c>
      <c r="F114" s="6" t="n">
        <v>793.75</v>
      </c>
      <c r="G114" s="7">
        <f>IF(E114=0,0,(E114-F114)/E114)</f>
        <v/>
      </c>
      <c r="H114" s="14" t="n">
        <v>0.03125</v>
      </c>
      <c r="I114" t="inlineStr">
        <is>
          <t>Remove tub/shower, tile, vanity, toilet and flooring to studs/subfloor. Dumpster billed separately.</t>
        </is>
      </c>
    </row>
    <row r="115">
      <c r="A115" t="inlineStr">
        <is>
          <t>COM</t>
        </is>
      </c>
      <c r="B115" t="inlineStr">
        <is>
          <t>Interior Remodel - Demo &amp; Prep</t>
        </is>
      </c>
      <c r="C115" t="inlineStr">
        <is>
          <t>Demo - Drywall/Plaster</t>
        </is>
      </c>
      <c r="D115" t="inlineStr">
        <is>
          <t>Sq Ft</t>
        </is>
      </c>
      <c r="E115" s="6" t="n">
        <v>3.04</v>
      </c>
      <c r="F115" s="6" t="n">
        <v>1.51</v>
      </c>
      <c r="G115" s="7">
        <f>IF(E115=0,0,(E115-F115)/E115)</f>
        <v/>
      </c>
      <c r="H115" s="14" t="n">
        <v>0.006578947368421052</v>
      </c>
      <c r="I115" t="inlineStr">
        <is>
          <t>Remove drywall or plaster from walls/ceilings, bag debris. Per sf of wall/ceiling.</t>
        </is>
      </c>
    </row>
    <row r="116">
      <c r="A116" t="inlineStr">
        <is>
          <t>COM</t>
        </is>
      </c>
      <c r="B116" t="inlineStr">
        <is>
          <t>Interior Remodel - Demo &amp; Prep</t>
        </is>
      </c>
      <c r="C116" t="inlineStr">
        <is>
          <t>Demo - Flooring (tile, carpet, LVP)</t>
        </is>
      </c>
      <c r="D116" t="inlineStr">
        <is>
          <t>Sq Ft</t>
        </is>
      </c>
      <c r="E116" s="6" t="n">
        <v>4.54</v>
      </c>
      <c r="F116" s="6" t="n">
        <v>2.25</v>
      </c>
      <c r="G116" s="7">
        <f>IF(E116=0,0,(E116-F116)/E116)</f>
        <v/>
      </c>
      <c r="H116" s="14" t="n">
        <v>0.004405286343612335</v>
      </c>
      <c r="I116" t="inlineStr">
        <is>
          <t>Remove existing floor covering and scrape/prep subfloor.</t>
        </is>
      </c>
    </row>
    <row r="117">
      <c r="A117" t="inlineStr">
        <is>
          <t>COM</t>
        </is>
      </c>
      <c r="B117" t="inlineStr">
        <is>
          <t>Interior Remodel - Demo &amp; Prep</t>
        </is>
      </c>
      <c r="C117" t="inlineStr">
        <is>
          <t>Dust Protection / Zip Wall Setup</t>
        </is>
      </c>
      <c r="D117" t="inlineStr">
        <is>
          <t>Room</t>
        </is>
      </c>
      <c r="E117" s="6" t="n">
        <v>420</v>
      </c>
      <c r="F117" s="6" t="n">
        <v>208.75</v>
      </c>
      <c r="G117" s="7">
        <f>IF(E117=0,0,(E117-F117)/E117)</f>
        <v/>
      </c>
      <c r="H117" s="14" t="n">
        <v>0.1428571428571428</v>
      </c>
      <c r="I117" t="inlineStr">
        <is>
          <t>Plastic zip walls, floor protection and HEPA dust control per room.</t>
        </is>
      </c>
    </row>
    <row r="118">
      <c r="A118" t="inlineStr">
        <is>
          <t>COM</t>
        </is>
      </c>
      <c r="B118" t="inlineStr">
        <is>
          <t>Interior Remodel - Drywall &amp; Framing</t>
        </is>
      </c>
      <c r="C118" t="inlineStr">
        <is>
          <t>Drywall - Hang, Tape &amp; Finish (Level 4)</t>
        </is>
      </c>
      <c r="D118" t="inlineStr">
        <is>
          <t>Sq Ft</t>
        </is>
      </c>
      <c r="E118" s="6" t="n">
        <v>4.85</v>
      </c>
      <c r="F118" s="6" t="n">
        <v>2.41</v>
      </c>
      <c r="G118" s="7">
        <f>IF(E118=0,0,(E118-F118)/E118)</f>
        <v/>
      </c>
      <c r="H118" s="14" t="n">
        <v>0.1134020618556701</v>
      </c>
      <c r="I118" t="inlineStr">
        <is>
          <t>Supply and install 1/2" drywall, tape and finish to level 4, ready for paint. Per sf of board.</t>
        </is>
      </c>
    </row>
    <row r="119">
      <c r="A119" t="inlineStr">
        <is>
          <t>COM</t>
        </is>
      </c>
      <c r="B119" t="inlineStr">
        <is>
          <t>Interior Remodel - Drywall &amp; Framing</t>
        </is>
      </c>
      <c r="C119" t="inlineStr">
        <is>
          <t>Drywall Patch - Small (up to 6")</t>
        </is>
      </c>
      <c r="D119" t="inlineStr">
        <is>
          <t>Each</t>
        </is>
      </c>
      <c r="E119" s="6" t="n">
        <v>255</v>
      </c>
      <c r="F119" s="6" t="n">
        <v>126.56</v>
      </c>
      <c r="G119" s="7">
        <f>IF(E119=0,0,(E119-F119)/E119)</f>
        <v/>
      </c>
      <c r="H119" s="14" t="n">
        <v>0.05882352941176471</v>
      </c>
      <c r="I119" t="inlineStr">
        <is>
          <t>Patch, finish and prime small hole. Includes return trip for finish coats.</t>
        </is>
      </c>
    </row>
    <row r="120">
      <c r="A120" t="inlineStr">
        <is>
          <t>COM</t>
        </is>
      </c>
      <c r="B120" t="inlineStr">
        <is>
          <t>Interior Remodel - Drywall &amp; Framing</t>
        </is>
      </c>
      <c r="C120" t="inlineStr">
        <is>
          <t>Drywall Patch - Medium (up to 2'x2')</t>
        </is>
      </c>
      <c r="D120" t="inlineStr">
        <is>
          <t>Each</t>
        </is>
      </c>
      <c r="E120" s="6" t="n">
        <v>510</v>
      </c>
      <c r="F120" s="6" t="n">
        <v>253.12</v>
      </c>
      <c r="G120" s="7">
        <f>IF(E120=0,0,(E120-F120)/E120)</f>
        <v/>
      </c>
      <c r="H120" s="14" t="n">
        <v>0.05882352941176471</v>
      </c>
      <c r="I120" t="inlineStr">
        <is>
          <t>Cut out, back-block, patch, finish and prime. Includes return trip.</t>
        </is>
      </c>
    </row>
    <row r="121">
      <c r="A121" t="inlineStr">
        <is>
          <t>COM</t>
        </is>
      </c>
      <c r="B121" t="inlineStr">
        <is>
          <t>Interior Remodel - Drywall &amp; Framing</t>
        </is>
      </c>
      <c r="C121" t="inlineStr">
        <is>
          <t>Skim Coat Walls</t>
        </is>
      </c>
      <c r="D121" t="inlineStr">
        <is>
          <t>Sq Ft</t>
        </is>
      </c>
      <c r="E121" s="6" t="n">
        <v>3.2</v>
      </c>
      <c r="F121" s="6" t="n">
        <v>1.59</v>
      </c>
      <c r="G121" s="7">
        <f>IF(E121=0,0,(E121-F121)/E121)</f>
        <v/>
      </c>
      <c r="H121" s="14" t="n">
        <v>0.03125</v>
      </c>
      <c r="I121" t="inlineStr">
        <is>
          <t>Skim coat damaged plaster/drywall smooth, ready for paint.</t>
        </is>
      </c>
    </row>
    <row r="122">
      <c r="A122" t="inlineStr">
        <is>
          <t>COM</t>
        </is>
      </c>
      <c r="B122" t="inlineStr">
        <is>
          <t>Interior Remodel - Drywall &amp; Framing</t>
        </is>
      </c>
      <c r="C122" t="inlineStr">
        <is>
          <t>Interior Wall Framing (8' wall)</t>
        </is>
      </c>
      <c r="D122" t="inlineStr">
        <is>
          <t>Lin Ft</t>
        </is>
      </c>
      <c r="E122" s="6" t="n">
        <v>99</v>
      </c>
      <c r="F122" s="6" t="n">
        <v>49.19</v>
      </c>
      <c r="G122" s="7">
        <f>IF(E122=0,0,(E122-F122)/E122)</f>
        <v/>
      </c>
      <c r="H122" s="14" t="n">
        <v>0.1212121212121212</v>
      </c>
      <c r="I122" t="inlineStr">
        <is>
          <t>Frame non-load-bearing 2x4 wall with top/bottom plates at 16" o.c.</t>
        </is>
      </c>
    </row>
    <row r="123">
      <c r="A123" t="inlineStr">
        <is>
          <t>COM</t>
        </is>
      </c>
      <c r="B123" t="inlineStr">
        <is>
          <t>Interior Remodel - Drywall &amp; Framing</t>
        </is>
      </c>
      <c r="C123" t="inlineStr">
        <is>
          <t>Basement Finishing - Labor &amp; Consumables</t>
        </is>
      </c>
      <c r="D123" t="inlineStr">
        <is>
          <t>Sq Ft</t>
        </is>
      </c>
      <c r="E123" s="6" t="n">
        <v>44</v>
      </c>
      <c r="F123" s="6" t="n">
        <v>21.59</v>
      </c>
      <c r="G123" s="7">
        <f>IF(E123=0,0,(E123-F123)/E123)</f>
        <v/>
      </c>
      <c r="H123" s="14" t="n">
        <v>0.06818181818181818</v>
      </c>
      <c r="I123" t="inlineStr">
        <is>
          <t>Frame, insulate, drywall, trim and doors per sf of finished floor. Electric, HVAC and flooring billed separately.</t>
        </is>
      </c>
    </row>
    <row r="124">
      <c r="A124" t="inlineStr">
        <is>
          <t>COM</t>
        </is>
      </c>
      <c r="B124" t="inlineStr">
        <is>
          <t>Interior Remodel - Carpentry &amp; Trim</t>
        </is>
      </c>
      <c r="C124" t="inlineStr">
        <is>
          <t>Baseboard - Supply &amp; Install (primed MDF)</t>
        </is>
      </c>
      <c r="D124" t="inlineStr">
        <is>
          <t>Lin Ft</t>
        </is>
      </c>
      <c r="E124" s="6" t="n">
        <v>12.5</v>
      </c>
      <c r="F124" s="6" t="n">
        <v>6.21</v>
      </c>
      <c r="G124" s="7">
        <f>IF(E124=0,0,(E124-F124)/E124)</f>
        <v/>
      </c>
      <c r="H124" s="14" t="n">
        <v>0.14</v>
      </c>
      <c r="I124" t="inlineStr">
        <is>
          <t>Supply and install primed 3-1/4" to 5-1/4" baseboard, caulk and fill, ready for paint.</t>
        </is>
      </c>
    </row>
    <row r="125">
      <c r="A125" t="inlineStr">
        <is>
          <t>COM</t>
        </is>
      </c>
      <c r="B125" t="inlineStr">
        <is>
          <t>Interior Remodel - Carpentry &amp; Trim</t>
        </is>
      </c>
      <c r="C125" t="inlineStr">
        <is>
          <t>Crown Molding - Supply &amp; Install</t>
        </is>
      </c>
      <c r="D125" t="inlineStr">
        <is>
          <t>Lin Ft</t>
        </is>
      </c>
      <c r="E125" s="6" t="n">
        <v>20</v>
      </c>
      <c r="F125" s="6" t="n">
        <v>9.94</v>
      </c>
      <c r="G125" s="7">
        <f>IF(E125=0,0,(E125-F125)/E125)</f>
        <v/>
      </c>
      <c r="H125" s="14" t="n">
        <v>0.125</v>
      </c>
      <c r="I125" t="inlineStr">
        <is>
          <t>Supply and install primed crown molding, cope corners, caulk and fill.</t>
        </is>
      </c>
    </row>
    <row r="126">
      <c r="A126" t="inlineStr">
        <is>
          <t>COM</t>
        </is>
      </c>
      <c r="B126" t="inlineStr">
        <is>
          <t>Interior Remodel - Carpentry &amp; Trim</t>
        </is>
      </c>
      <c r="C126" t="inlineStr">
        <is>
          <t>Door Casing - Per Side</t>
        </is>
      </c>
      <c r="D126" t="inlineStr">
        <is>
          <t>Each</t>
        </is>
      </c>
      <c r="E126" s="6" t="n">
        <v>200</v>
      </c>
      <c r="F126" s="6" t="n">
        <v>99.38</v>
      </c>
      <c r="G126" s="7">
        <f>IF(E126=0,0,(E126-F126)/E126)</f>
        <v/>
      </c>
      <c r="H126" s="14" t="n">
        <v>0.125</v>
      </c>
      <c r="I126" t="inlineStr">
        <is>
          <t>Supply and install primed casing on one side of a door opening.</t>
        </is>
      </c>
    </row>
    <row r="127">
      <c r="A127" t="inlineStr">
        <is>
          <t>COM</t>
        </is>
      </c>
      <c r="B127" t="inlineStr">
        <is>
          <t>Interior Remodel - Carpentry &amp; Trim</t>
        </is>
      </c>
      <c r="C127" t="inlineStr">
        <is>
          <t>Interior Prehung Door - Install Only</t>
        </is>
      </c>
      <c r="D127" t="inlineStr">
        <is>
          <t>Each</t>
        </is>
      </c>
      <c r="E127" s="6" t="n">
        <v>415</v>
      </c>
      <c r="F127" s="6" t="n">
        <v>205.94</v>
      </c>
      <c r="G127" s="7">
        <f>IF(E127=0,0,(E127-F127)/E127)</f>
        <v/>
      </c>
      <c r="H127" s="14" t="n">
        <v>0.04819277108433735</v>
      </c>
      <c r="I127" t="inlineStr">
        <is>
          <t>Install customer- or allowance-supplied prehung door, shim, hang hardware. Door via Materials line.</t>
        </is>
      </c>
    </row>
    <row r="128">
      <c r="A128" t="inlineStr">
        <is>
          <t>COM</t>
        </is>
      </c>
      <c r="B128" t="inlineStr">
        <is>
          <t>Interior Remodel - Carpentry &amp; Trim</t>
        </is>
      </c>
      <c r="C128" t="inlineStr">
        <is>
          <t>Closet Shelving System - Install</t>
        </is>
      </c>
      <c r="D128" t="inlineStr">
        <is>
          <t>Each</t>
        </is>
      </c>
      <c r="E128" s="6" t="n">
        <v>490</v>
      </c>
      <c r="F128" s="6" t="n">
        <v>243.12</v>
      </c>
      <c r="G128" s="7">
        <f>IF(E128=0,0,(E128-F128)/E128)</f>
        <v/>
      </c>
      <c r="H128" s="14" t="n">
        <v>0.04081632653061224</v>
      </c>
      <c r="I128" t="inlineStr">
        <is>
          <t>Install wire or laminate closet system (standard reach-in). System via Materials line.</t>
        </is>
      </c>
    </row>
    <row r="129">
      <c r="A129" t="inlineStr">
        <is>
          <t>COM</t>
        </is>
      </c>
      <c r="B129" t="inlineStr">
        <is>
          <t>Interior Remodel - Carpentry &amp; Trim</t>
        </is>
      </c>
      <c r="C129" t="inlineStr">
        <is>
          <t>Stair Treads - Replace</t>
        </is>
      </c>
      <c r="D129" t="inlineStr">
        <is>
          <t>Each</t>
        </is>
      </c>
      <c r="E129" s="6" t="n">
        <v>208</v>
      </c>
      <c r="F129" s="6" t="n">
        <v>102.97</v>
      </c>
      <c r="G129" s="7">
        <f>IF(E129=0,0,(E129-F129)/E129)</f>
        <v/>
      </c>
      <c r="H129" s="14" t="n">
        <v>0.04807692307692308</v>
      </c>
      <c r="I129" t="inlineStr">
        <is>
          <t>Remove and replace one stair tread and riser. Tread via Materials line.</t>
        </is>
      </c>
    </row>
    <row r="130">
      <c r="A130" t="inlineStr">
        <is>
          <t>COM</t>
        </is>
      </c>
      <c r="B130" t="inlineStr">
        <is>
          <t>Interior Remodel - Kitchen</t>
        </is>
      </c>
      <c r="C130" t="inlineStr">
        <is>
          <t>Cabinet Install - Base or Wall</t>
        </is>
      </c>
      <c r="D130" t="inlineStr">
        <is>
          <t>Lin Ft</t>
        </is>
      </c>
      <c r="E130" s="6" t="n">
        <v>121</v>
      </c>
      <c r="F130" s="6" t="n">
        <v>59.78</v>
      </c>
      <c r="G130" s="7">
        <f>IF(E130=0,0,(E130-F130)/E130)</f>
        <v/>
      </c>
      <c r="H130" s="14" t="n">
        <v>0.03305785123966942</v>
      </c>
      <c r="I130" t="inlineStr">
        <is>
          <t>Install, level, shim and fasten cabinets; install hardware. Cabinets via Materials line.</t>
        </is>
      </c>
    </row>
    <row r="131">
      <c r="A131" t="inlineStr">
        <is>
          <t>COM</t>
        </is>
      </c>
      <c r="B131" t="inlineStr">
        <is>
          <t>Interior Remodel - Kitchen</t>
        </is>
      </c>
      <c r="C131" t="inlineStr">
        <is>
          <t>Cabinet Crown / Light Rail</t>
        </is>
      </c>
      <c r="D131" t="inlineStr">
        <is>
          <t>Lin Ft</t>
        </is>
      </c>
      <c r="E131" s="6" t="n">
        <v>25</v>
      </c>
      <c r="F131" s="6" t="n">
        <v>12.16</v>
      </c>
      <c r="G131" s="7">
        <f>IF(E131=0,0,(E131-F131)/E131)</f>
        <v/>
      </c>
      <c r="H131" s="14" t="n">
        <v>0.04</v>
      </c>
      <c r="I131" t="inlineStr">
        <is>
          <t>Install cabinet crown or light rail molding. Molding via Materials line.</t>
        </is>
      </c>
    </row>
    <row r="132">
      <c r="A132" t="inlineStr">
        <is>
          <t>COM</t>
        </is>
      </c>
      <c r="B132" t="inlineStr">
        <is>
          <t>Interior Remodel - Kitchen</t>
        </is>
      </c>
      <c r="C132" t="inlineStr">
        <is>
          <t>Backsplash Tile - Install</t>
        </is>
      </c>
      <c r="D132" t="inlineStr">
        <is>
          <t>Sq Ft</t>
        </is>
      </c>
      <c r="E132" s="6" t="n">
        <v>35</v>
      </c>
      <c r="F132" s="6" t="n">
        <v>17.38</v>
      </c>
      <c r="G132" s="7">
        <f>IF(E132=0,0,(E132-F132)/E132)</f>
        <v/>
      </c>
      <c r="H132" s="14" t="n">
        <v>0.07142857142857142</v>
      </c>
      <c r="I132" t="inlineStr">
        <is>
          <t>Install backsplash tile incl. thinset, grout and caulk. Tile via Materials line.</t>
        </is>
      </c>
    </row>
    <row r="133">
      <c r="A133" t="inlineStr">
        <is>
          <t>COM</t>
        </is>
      </c>
      <c r="B133" t="inlineStr">
        <is>
          <t>Interior Remodel - Kitchen</t>
        </is>
      </c>
      <c r="C133" t="inlineStr">
        <is>
          <t>Countertop Template &amp; Install Coordination</t>
        </is>
      </c>
      <c r="D133" t="inlineStr">
        <is>
          <t>Each</t>
        </is>
      </c>
      <c r="E133" s="6" t="n">
        <v>330</v>
      </c>
      <c r="F133" s="6" t="n">
        <v>93.75</v>
      </c>
      <c r="G133" s="7">
        <f>IF(E133=0,0,(E133-F133)/E133)</f>
        <v/>
      </c>
      <c r="H133" s="14" t="n">
        <v>0</v>
      </c>
      <c r="I133" t="inlineStr">
        <is>
          <t>Schedule fabricator template and install, disconnect/reconnect sink. Fabricator via Specialty Sub line.</t>
        </is>
      </c>
    </row>
    <row r="134">
      <c r="A134" t="inlineStr">
        <is>
          <t>COM</t>
        </is>
      </c>
      <c r="B134" t="inlineStr">
        <is>
          <t>Interior Remodel - Kitchen</t>
        </is>
      </c>
      <c r="C134" t="inlineStr">
        <is>
          <t>Appliance Install - Each</t>
        </is>
      </c>
      <c r="D134" t="inlineStr">
        <is>
          <t>Each</t>
        </is>
      </c>
      <c r="E134" s="6" t="n">
        <v>180</v>
      </c>
      <c r="F134" s="6" t="n">
        <v>89.38</v>
      </c>
      <c r="G134" s="7">
        <f>IF(E134=0,0,(E134-F134)/E134)</f>
        <v/>
      </c>
      <c r="H134" s="14" t="n">
        <v>0.08333333333333333</v>
      </c>
      <c r="I134" t="inlineStr">
        <is>
          <t>Install and connect dishwasher, range, hood, microwave or refrigerator (existing utilities).</t>
        </is>
      </c>
    </row>
    <row r="135">
      <c r="A135" t="inlineStr">
        <is>
          <t>COM</t>
        </is>
      </c>
      <c r="B135" t="inlineStr">
        <is>
          <t>Interior Remodel - Bathroom</t>
        </is>
      </c>
      <c r="C135" t="inlineStr">
        <is>
          <t>Tub/Shower Tile Surround - Labor &amp; Prep</t>
        </is>
      </c>
      <c r="D135" t="inlineStr">
        <is>
          <t>Each</t>
        </is>
      </c>
      <c r="E135" s="6" t="n">
        <v>5700</v>
      </c>
      <c r="F135" s="6" t="n">
        <v>2830</v>
      </c>
      <c r="G135" s="7">
        <f>IF(E135=0,0,(E135-F135)/E135)</f>
        <v/>
      </c>
      <c r="H135" s="14" t="n">
        <v>0.07894736842105263</v>
      </c>
      <c r="I135" t="inlineStr">
        <is>
          <t>Standard 5' alcove: cement board, waterproof membrane, tile walls, niche, grout and seal. Tile via Materials line.</t>
        </is>
      </c>
    </row>
    <row r="136">
      <c r="A136" t="inlineStr">
        <is>
          <t>COM</t>
        </is>
      </c>
      <c r="B136" t="inlineStr">
        <is>
          <t>Interior Remodel - Bathroom</t>
        </is>
      </c>
      <c r="C136" t="inlineStr">
        <is>
          <t>Floor Tile - Install</t>
        </is>
      </c>
      <c r="D136" t="inlineStr">
        <is>
          <t>Sq Ft</t>
        </is>
      </c>
      <c r="E136" s="6" t="n">
        <v>32</v>
      </c>
      <c r="F136" s="6" t="n">
        <v>15.64</v>
      </c>
      <c r="G136" s="7">
        <f>IF(E136=0,0,(E136-F136)/E136)</f>
        <v/>
      </c>
      <c r="H136" s="14" t="n">
        <v>0.0703125</v>
      </c>
      <c r="I136" t="inlineStr">
        <is>
          <t>Install floor tile incl. underlayment/thinset/grout. Tile via Materials line.</t>
        </is>
      </c>
    </row>
    <row r="137">
      <c r="A137" t="inlineStr">
        <is>
          <t>COM</t>
        </is>
      </c>
      <c r="B137" t="inlineStr">
        <is>
          <t>Interior Remodel - Bathroom</t>
        </is>
      </c>
      <c r="C137" t="inlineStr">
        <is>
          <t>Vanity &amp; Top - Install</t>
        </is>
      </c>
      <c r="D137" t="inlineStr">
        <is>
          <t>Each</t>
        </is>
      </c>
      <c r="E137" s="6" t="n">
        <v>650</v>
      </c>
      <c r="F137" s="6" t="n">
        <v>322.5</v>
      </c>
      <c r="G137" s="7">
        <f>IF(E137=0,0,(E137-F137)/E137)</f>
        <v/>
      </c>
      <c r="H137" s="14" t="n">
        <v>0.03846153846153846</v>
      </c>
      <c r="I137" t="inlineStr">
        <is>
          <t>Install vanity and top; plumber connects or by Specialty Sub line. Vanity via Materials line.</t>
        </is>
      </c>
    </row>
    <row r="138">
      <c r="A138" t="inlineStr">
        <is>
          <t>COM</t>
        </is>
      </c>
      <c r="B138" t="inlineStr">
        <is>
          <t>Interior Remodel - Bathroom</t>
        </is>
      </c>
      <c r="C138" t="inlineStr">
        <is>
          <t>Toilet - Remove &amp; Reset</t>
        </is>
      </c>
      <c r="D138" t="inlineStr">
        <is>
          <t>Each</t>
        </is>
      </c>
      <c r="E138" s="6" t="n">
        <v>265</v>
      </c>
      <c r="F138" s="6" t="n">
        <v>131.56</v>
      </c>
      <c r="G138" s="7">
        <f>IF(E138=0,0,(E138-F138)/E138)</f>
        <v/>
      </c>
      <c r="H138" s="14" t="n">
        <v>0.07547169811320754</v>
      </c>
      <c r="I138" t="inlineStr">
        <is>
          <t>Remove and reset/replace toilet incl. wax ring and supply line.</t>
        </is>
      </c>
    </row>
    <row r="139">
      <c r="A139" t="inlineStr">
        <is>
          <t>COM</t>
        </is>
      </c>
      <c r="B139" t="inlineStr">
        <is>
          <t>Interior Remodel - Bathroom</t>
        </is>
      </c>
      <c r="C139" t="inlineStr">
        <is>
          <t>Bath Accessories Package</t>
        </is>
      </c>
      <c r="D139" t="inlineStr">
        <is>
          <t>Each</t>
        </is>
      </c>
      <c r="E139" s="6" t="n">
        <v>330</v>
      </c>
      <c r="F139" s="6" t="n">
        <v>163.75</v>
      </c>
      <c r="G139" s="7">
        <f>IF(E139=0,0,(E139-F139)/E139)</f>
        <v/>
      </c>
      <c r="H139" s="14" t="n">
        <v>0.04545454545454546</v>
      </c>
      <c r="I139" t="inlineStr">
        <is>
          <t>Install towel bars, TP holder, mirror, medicine cabinet.</t>
        </is>
      </c>
    </row>
    <row r="140">
      <c r="A140" t="inlineStr">
        <is>
          <t>COM</t>
        </is>
      </c>
      <c r="B140" t="inlineStr">
        <is>
          <t>Interior Remodel - Bathroom</t>
        </is>
      </c>
      <c r="C140" t="inlineStr">
        <is>
          <t>Full Bath Remodel - Labor &amp; PM Package (5x8)</t>
        </is>
      </c>
      <c r="D140" t="inlineStr">
        <is>
          <t>Each</t>
        </is>
      </c>
      <c r="E140" s="6" t="n">
        <v>13800</v>
      </c>
      <c r="F140" s="6" t="n">
        <v>6850</v>
      </c>
      <c r="G140" s="7">
        <f>IF(E140=0,0,(E140-F140)/E140)</f>
        <v/>
      </c>
      <c r="H140" s="14" t="n">
        <v>0.06521739130434782</v>
      </c>
      <c r="I140" t="inlineStr">
        <is>
          <t>Demo, framing/backer, waterproofing, tile, vanity, toilet, trim and accessories. Plumbing/electric, fixtures and tile billed separately.</t>
        </is>
      </c>
    </row>
    <row r="141">
      <c r="A141" t="inlineStr">
        <is>
          <t>COM</t>
        </is>
      </c>
      <c r="B141" t="inlineStr">
        <is>
          <t>Interior Remodel - Flooring</t>
        </is>
      </c>
      <c r="C141" t="inlineStr">
        <is>
          <t>LVP / Laminate - Install</t>
        </is>
      </c>
      <c r="D141" t="inlineStr">
        <is>
          <t>Sq Ft</t>
        </is>
      </c>
      <c r="E141" s="6" t="n">
        <v>5.2</v>
      </c>
      <c r="F141" s="6" t="n">
        <v>2.58</v>
      </c>
      <c r="G141" s="7">
        <f>IF(E141=0,0,(E141-F141)/E141)</f>
        <v/>
      </c>
      <c r="H141" s="14" t="n">
        <v>0.0673076923076923</v>
      </c>
      <c r="I141" t="inlineStr">
        <is>
          <t>Install floating LVP or laminate incl. underlayment and transitions. Flooring via Materials line.</t>
        </is>
      </c>
    </row>
    <row r="142">
      <c r="A142" t="inlineStr">
        <is>
          <t>COM</t>
        </is>
      </c>
      <c r="B142" t="inlineStr">
        <is>
          <t>Interior Remodel - Flooring</t>
        </is>
      </c>
      <c r="C142" t="inlineStr">
        <is>
          <t>Hardwood - Nail-Down Install</t>
        </is>
      </c>
      <c r="D142" t="inlineStr">
        <is>
          <t>Sq Ft</t>
        </is>
      </c>
      <c r="E142" s="6" t="n">
        <v>8.300000000000001</v>
      </c>
      <c r="F142" s="6" t="n">
        <v>4.12</v>
      </c>
      <c r="G142" s="7">
        <f>IF(E142=0,0,(E142-F142)/E142)</f>
        <v/>
      </c>
      <c r="H142" s="14" t="n">
        <v>0.04819277108433734</v>
      </c>
      <c r="I142" t="inlineStr">
        <is>
          <t>Install solid or engineered hardwood incl. paper and fasteners. Flooring via Materials line.</t>
        </is>
      </c>
    </row>
    <row r="143">
      <c r="A143" t="inlineStr">
        <is>
          <t>COM</t>
        </is>
      </c>
      <c r="B143" t="inlineStr">
        <is>
          <t>Interior Remodel - Flooring</t>
        </is>
      </c>
      <c r="C143" t="inlineStr">
        <is>
          <t>Floor Leveling / Self-Leveler</t>
        </is>
      </c>
      <c r="D143" t="inlineStr">
        <is>
          <t>Sq Ft</t>
        </is>
      </c>
      <c r="E143" s="6" t="n">
        <v>4.5</v>
      </c>
      <c r="F143" s="6" t="n">
        <v>2.24</v>
      </c>
      <c r="G143" s="7">
        <f>IF(E143=0,0,(E143-F143)/E143)</f>
        <v/>
      </c>
      <c r="H143" s="14" t="n">
        <v>0.1666666666666667</v>
      </c>
      <c r="I143" t="inlineStr">
        <is>
          <t>Grind high spots and pour self-leveling compound.</t>
        </is>
      </c>
    </row>
    <row r="144">
      <c r="A144" t="inlineStr">
        <is>
          <t>COM</t>
        </is>
      </c>
      <c r="B144" t="inlineStr">
        <is>
          <t>Interior Remodel - Flooring</t>
        </is>
      </c>
      <c r="C144" t="inlineStr">
        <is>
          <t>Subfloor - Replace (per 4x8 sheet)</t>
        </is>
      </c>
      <c r="D144" t="inlineStr">
        <is>
          <t>Each</t>
        </is>
      </c>
      <c r="E144" s="6" t="n">
        <v>335</v>
      </c>
      <c r="F144" s="6" t="n">
        <v>166.56</v>
      </c>
      <c r="G144" s="7">
        <f>IF(E144=0,0,(E144-F144)/E144)</f>
        <v/>
      </c>
      <c r="H144" s="14" t="n">
        <v>0.1641791044776119</v>
      </c>
      <c r="I144" t="inlineStr">
        <is>
          <t>Remove damaged subfloor and install 3/4" T&amp;G plywood, glued and screwed.</t>
        </is>
      </c>
    </row>
    <row r="145">
      <c r="A145" t="inlineStr">
        <is>
          <t>COM</t>
        </is>
      </c>
      <c r="B145" t="inlineStr">
        <is>
          <t>Interior Remodel - Flooring</t>
        </is>
      </c>
      <c r="C145" t="inlineStr">
        <is>
          <t>Shoe Molding / Quarter Round</t>
        </is>
      </c>
      <c r="D145" t="inlineStr">
        <is>
          <t>Lin Ft</t>
        </is>
      </c>
      <c r="E145" s="6" t="n">
        <v>6</v>
      </c>
      <c r="F145" s="6" t="n">
        <v>2.98</v>
      </c>
      <c r="G145" s="7">
        <f>IF(E145=0,0,(E145-F145)/E145)</f>
        <v/>
      </c>
      <c r="H145" s="14" t="n">
        <v>0.125</v>
      </c>
      <c r="I145" t="inlineStr">
        <is>
          <t>Supply and install shoe molding or quarter round after flooring.</t>
        </is>
      </c>
    </row>
    <row r="146">
      <c r="A146" t="inlineStr">
        <is>
          <t>COM</t>
        </is>
      </c>
      <c r="B146" t="inlineStr">
        <is>
          <t>Handyman</t>
        </is>
      </c>
      <c r="C146" t="inlineStr">
        <is>
          <t>TV Wall Mount - Install</t>
        </is>
      </c>
      <c r="D146" t="inlineStr">
        <is>
          <t>Each</t>
        </is>
      </c>
      <c r="E146" s="6" t="n">
        <v>245</v>
      </c>
      <c r="F146" s="6" t="n">
        <v>121.56</v>
      </c>
      <c r="G146" s="7">
        <f>IF(E146=0,0,(E146-F146)/E146)</f>
        <v/>
      </c>
      <c r="H146" s="14" t="n">
        <v>0.04081632653061224</v>
      </c>
      <c r="I146" t="inlineStr">
        <is>
          <t>Mount customer-supplied TV and bracket on drywall/studs, conceal cables where possible.</t>
        </is>
      </c>
    </row>
    <row r="147">
      <c r="A147" t="inlineStr">
        <is>
          <t>COM</t>
        </is>
      </c>
      <c r="B147" t="inlineStr">
        <is>
          <t>Handyman</t>
        </is>
      </c>
      <c r="C147" t="inlineStr">
        <is>
          <t>Light Fixture - Replace</t>
        </is>
      </c>
      <c r="D147" t="inlineStr">
        <is>
          <t>Each</t>
        </is>
      </c>
      <c r="E147" s="6" t="n">
        <v>170</v>
      </c>
      <c r="F147" s="6" t="n">
        <v>84.38</v>
      </c>
      <c r="G147" s="7">
        <f>IF(E147=0,0,(E147-F147)/E147)</f>
        <v/>
      </c>
      <c r="H147" s="14" t="n">
        <v>0.05882352941176471</v>
      </c>
      <c r="I147" t="inlineStr">
        <is>
          <t>Replace existing light fixture on existing box (like-for-like).</t>
        </is>
      </c>
    </row>
    <row r="148">
      <c r="A148" t="inlineStr">
        <is>
          <t>COM</t>
        </is>
      </c>
      <c r="B148" t="inlineStr">
        <is>
          <t>Handyman</t>
        </is>
      </c>
      <c r="C148" t="inlineStr">
        <is>
          <t>Ceiling Fan - Replace</t>
        </is>
      </c>
      <c r="D148" t="inlineStr">
        <is>
          <t>Each</t>
        </is>
      </c>
      <c r="E148" s="6" t="n">
        <v>330</v>
      </c>
      <c r="F148" s="6" t="n">
        <v>163.75</v>
      </c>
      <c r="G148" s="7">
        <f>IF(E148=0,0,(E148-F148)/E148)</f>
        <v/>
      </c>
      <c r="H148" s="14" t="n">
        <v>0.04545454545454546</v>
      </c>
      <c r="I148" t="inlineStr">
        <is>
          <t>Replace existing fixture/fan on fan-rated box (like-for-like).</t>
        </is>
      </c>
    </row>
    <row r="149">
      <c r="A149" t="inlineStr">
        <is>
          <t>COM</t>
        </is>
      </c>
      <c r="B149" t="inlineStr">
        <is>
          <t>Handyman</t>
        </is>
      </c>
      <c r="C149" t="inlineStr">
        <is>
          <t>Faucet - Replace</t>
        </is>
      </c>
      <c r="D149" t="inlineStr">
        <is>
          <t>Each</t>
        </is>
      </c>
      <c r="E149" s="6" t="n">
        <v>255</v>
      </c>
      <c r="F149" s="6" t="n">
        <v>126.56</v>
      </c>
      <c r="G149" s="7">
        <f>IF(E149=0,0,(E149-F149)/E149)</f>
        <v/>
      </c>
      <c r="H149" s="14" t="n">
        <v>0.05882352941176471</v>
      </c>
      <c r="I149" t="inlineStr">
        <is>
          <t>Replace kitchen or bath faucet incl. supply lines.</t>
        </is>
      </c>
    </row>
    <row r="150">
      <c r="A150" t="inlineStr">
        <is>
          <t>COM</t>
        </is>
      </c>
      <c r="B150" t="inlineStr">
        <is>
          <t>Handyman</t>
        </is>
      </c>
      <c r="C150" t="inlineStr">
        <is>
          <t>Garbage Disposal - Replace</t>
        </is>
      </c>
      <c r="D150" t="inlineStr">
        <is>
          <t>Each</t>
        </is>
      </c>
      <c r="E150" s="6" t="n">
        <v>255</v>
      </c>
      <c r="F150" s="6" t="n">
        <v>126.56</v>
      </c>
      <c r="G150" s="7">
        <f>IF(E150=0,0,(E150-F150)/E150)</f>
        <v/>
      </c>
      <c r="H150" s="14" t="n">
        <v>0.05882352941176471</v>
      </c>
      <c r="I150" t="inlineStr">
        <is>
          <t>Replace existing disposal (like-for-like).</t>
        </is>
      </c>
    </row>
    <row r="151">
      <c r="A151" t="inlineStr">
        <is>
          <t>COM</t>
        </is>
      </c>
      <c r="B151" t="inlineStr">
        <is>
          <t>Handyman</t>
        </is>
      </c>
      <c r="C151" t="inlineStr">
        <is>
          <t>Tub / Shower Re-Caulk</t>
        </is>
      </c>
      <c r="D151" t="inlineStr">
        <is>
          <t>Each</t>
        </is>
      </c>
      <c r="E151" s="6" t="n">
        <v>255</v>
      </c>
      <c r="F151" s="6" t="n">
        <v>126.56</v>
      </c>
      <c r="G151" s="7">
        <f>IF(E151=0,0,(E151-F151)/E151)</f>
        <v/>
      </c>
      <c r="H151" s="14" t="n">
        <v>0.05882352941176471</v>
      </c>
      <c r="I151" t="inlineStr">
        <is>
          <t>Remove old caulk, clean and re-caulk tub or shower with mildew-resistant silicone.</t>
        </is>
      </c>
    </row>
    <row r="152">
      <c r="A152" t="inlineStr">
        <is>
          <t>COM</t>
        </is>
      </c>
      <c r="B152" t="inlineStr">
        <is>
          <t>Handyman</t>
        </is>
      </c>
      <c r="C152" t="inlineStr">
        <is>
          <t>Grab Bar - Install</t>
        </is>
      </c>
      <c r="D152" t="inlineStr">
        <is>
          <t>Each</t>
        </is>
      </c>
      <c r="E152" s="6" t="n">
        <v>180</v>
      </c>
      <c r="F152" s="6" t="n">
        <v>89.38</v>
      </c>
      <c r="G152" s="7">
        <f>IF(E152=0,0,(E152-F152)/E152)</f>
        <v/>
      </c>
      <c r="H152" s="14" t="n">
        <v>0.08333333333333333</v>
      </c>
      <c r="I152" t="inlineStr">
        <is>
          <t>Install ADA grab bar into blocking/studs or with rated anchors.</t>
        </is>
      </c>
    </row>
    <row r="153">
      <c r="A153" t="inlineStr">
        <is>
          <t>COM</t>
        </is>
      </c>
      <c r="B153" t="inlineStr">
        <is>
          <t>Handyman</t>
        </is>
      </c>
      <c r="C153" t="inlineStr">
        <is>
          <t>Smoke / CO Detector - Install</t>
        </is>
      </c>
      <c r="D153" t="inlineStr">
        <is>
          <t>Each</t>
        </is>
      </c>
      <c r="E153" s="6" t="n">
        <v>38</v>
      </c>
      <c r="F153" s="6" t="n">
        <v>18.59</v>
      </c>
      <c r="G153" s="7">
        <f>IF(E153=0,0,(E153-F153)/E153)</f>
        <v/>
      </c>
      <c r="H153" s="14" t="n">
        <v>0</v>
      </c>
      <c r="I153" t="inlineStr">
        <is>
          <t>Install or replace battery or hardwired detector (unit via Materials line).</t>
        </is>
      </c>
    </row>
    <row r="154">
      <c r="A154" t="inlineStr">
        <is>
          <t>COM</t>
        </is>
      </c>
      <c r="B154" t="inlineStr">
        <is>
          <t>Handyman</t>
        </is>
      </c>
      <c r="C154" t="inlineStr">
        <is>
          <t>Door - Adjust / Plane / Rehang</t>
        </is>
      </c>
      <c r="D154" t="inlineStr">
        <is>
          <t>Each</t>
        </is>
      </c>
      <c r="E154" s="6" t="n">
        <v>160</v>
      </c>
      <c r="F154" s="6" t="n">
        <v>79.38</v>
      </c>
      <c r="G154" s="7">
        <f>IF(E154=0,0,(E154-F154)/E154)</f>
        <v/>
      </c>
      <c r="H154" s="14" t="n">
        <v>0.03125</v>
      </c>
      <c r="I154" t="inlineStr">
        <is>
          <t>Adjust hinges, plane and re-hang sticking interior or exterior door.</t>
        </is>
      </c>
    </row>
    <row r="155">
      <c r="A155" t="inlineStr">
        <is>
          <t>COM</t>
        </is>
      </c>
      <c r="B155" t="inlineStr">
        <is>
          <t>Handyman</t>
        </is>
      </c>
      <c r="C155" t="inlineStr">
        <is>
          <t>Weatherstrip &amp; Door Sweep</t>
        </is>
      </c>
      <c r="D155" t="inlineStr">
        <is>
          <t>Each</t>
        </is>
      </c>
      <c r="E155" s="6" t="n">
        <v>200</v>
      </c>
      <c r="F155" s="6" t="n">
        <v>99.38</v>
      </c>
      <c r="G155" s="7">
        <f>IF(E155=0,0,(E155-F155)/E155)</f>
        <v/>
      </c>
      <c r="H155" s="14" t="n">
        <v>0.125</v>
      </c>
      <c r="I155" t="inlineStr">
        <is>
          <t>Replace weatherstripping and door sweep on one exterior door.</t>
        </is>
      </c>
    </row>
    <row r="156">
      <c r="A156" t="inlineStr">
        <is>
          <t>COM</t>
        </is>
      </c>
      <c r="B156" t="inlineStr">
        <is>
          <t>Handyman</t>
        </is>
      </c>
      <c r="C156" t="inlineStr">
        <is>
          <t>Storm Door - Install</t>
        </is>
      </c>
      <c r="D156" t="inlineStr">
        <is>
          <t>Each</t>
        </is>
      </c>
      <c r="E156" s="6" t="n">
        <v>650</v>
      </c>
      <c r="F156" s="6" t="n">
        <v>322.5</v>
      </c>
      <c r="G156" s="7">
        <f>IF(E156=0,0,(E156-F156)/E156)</f>
        <v/>
      </c>
      <c r="H156" s="14" t="n">
        <v>0.03846153846153846</v>
      </c>
      <c r="I156" t="inlineStr">
        <is>
          <t>Install customer- or allowance-supplied storm door. Door via Materials line.</t>
        </is>
      </c>
    </row>
    <row r="157">
      <c r="A157" t="inlineStr">
        <is>
          <t>COM</t>
        </is>
      </c>
      <c r="B157" t="inlineStr">
        <is>
          <t>Handyman</t>
        </is>
      </c>
      <c r="C157" t="inlineStr">
        <is>
          <t>Window / Door Screen - Rescreen</t>
        </is>
      </c>
      <c r="D157" t="inlineStr">
        <is>
          <t>Each</t>
        </is>
      </c>
      <c r="E157" s="6" t="n">
        <v>190</v>
      </c>
      <c r="F157" s="6" t="n">
        <v>94.38</v>
      </c>
      <c r="G157" s="7">
        <f>IF(E157=0,0,(E157-F157)/E157)</f>
        <v/>
      </c>
      <c r="H157" s="14" t="n">
        <v>0.1052631578947368</v>
      </c>
      <c r="I157" t="inlineStr">
        <is>
          <t>Rescreen one window or door screen.</t>
        </is>
      </c>
    </row>
    <row r="158">
      <c r="A158" t="inlineStr">
        <is>
          <t>COM</t>
        </is>
      </c>
      <c r="B158" t="inlineStr">
        <is>
          <t>Handyman</t>
        </is>
      </c>
      <c r="C158" t="inlineStr">
        <is>
          <t>Shelving / Curtain Rods / Pictures (per hr)</t>
        </is>
      </c>
      <c r="D158" t="inlineStr">
        <is>
          <t>Hour</t>
        </is>
      </c>
      <c r="E158" s="6" t="n">
        <v>160</v>
      </c>
      <c r="F158" s="6" t="n">
        <v>79.38</v>
      </c>
      <c r="G158" s="7">
        <f>IF(E158=0,0,(E158-F158)/E158)</f>
        <v/>
      </c>
      <c r="H158" s="14" t="n">
        <v>0.03125</v>
      </c>
      <c r="I158" t="inlineStr">
        <is>
          <t>Hang shelves, curtain rods, mirrors and pictures.</t>
        </is>
      </c>
    </row>
    <row r="159">
      <c r="A159" t="inlineStr">
        <is>
          <t>COM</t>
        </is>
      </c>
      <c r="B159" t="inlineStr">
        <is>
          <t>Handyman</t>
        </is>
      </c>
      <c r="C159" t="inlineStr">
        <is>
          <t>Furniture / Equipment Assembly (per hr)</t>
        </is>
      </c>
      <c r="D159" t="inlineStr">
        <is>
          <t>Hour</t>
        </is>
      </c>
      <c r="E159" s="6" t="n">
        <v>150</v>
      </c>
      <c r="F159" s="6" t="n">
        <v>74.38</v>
      </c>
      <c r="G159" s="7">
        <f>IF(E159=0,0,(E159-F159)/E159)</f>
        <v/>
      </c>
      <c r="H159" s="14" t="n">
        <v>0</v>
      </c>
      <c r="I159" t="inlineStr">
        <is>
          <t>Assemble furniture, playsets or equipment.</t>
        </is>
      </c>
    </row>
    <row r="160">
      <c r="A160" t="inlineStr">
        <is>
          <t>COM</t>
        </is>
      </c>
      <c r="B160" t="inlineStr">
        <is>
          <t>Handyman</t>
        </is>
      </c>
      <c r="C160" t="inlineStr">
        <is>
          <t>Gutter Cleaning - Single Story</t>
        </is>
      </c>
      <c r="D160" t="inlineStr">
        <is>
          <t>Each</t>
        </is>
      </c>
      <c r="E160" s="6" t="n">
        <v>395</v>
      </c>
      <c r="F160" s="6" t="n">
        <v>195.94</v>
      </c>
      <c r="G160" s="7">
        <f>IF(E160=0,0,(E160-F160)/E160)</f>
        <v/>
      </c>
      <c r="H160" s="14" t="n">
        <v>0.02531645569620253</v>
      </c>
      <c r="I160" t="inlineStr">
        <is>
          <t>Clean gutters and flush downspouts, single-story home up to 150 LF.</t>
        </is>
      </c>
    </row>
    <row r="161">
      <c r="A161" t="inlineStr">
        <is>
          <t>COM</t>
        </is>
      </c>
      <c r="B161" t="inlineStr">
        <is>
          <t>Handyman</t>
        </is>
      </c>
      <c r="C161" t="inlineStr">
        <is>
          <t>Mailbox &amp; Post - Replace</t>
        </is>
      </c>
      <c r="D161" t="inlineStr">
        <is>
          <t>Each</t>
        </is>
      </c>
      <c r="E161" s="6" t="n">
        <v>360</v>
      </c>
      <c r="F161" s="6" t="n">
        <v>178.75</v>
      </c>
      <c r="G161" s="7">
        <f>IF(E161=0,0,(E161-F161)/E161)</f>
        <v/>
      </c>
      <c r="H161" s="14" t="n">
        <v>0.08333333333333333</v>
      </c>
      <c r="I161" t="inlineStr">
        <is>
          <t>Remove old post, set new post in concrete and mount mailbox (mailbox via Materials line).</t>
        </is>
      </c>
    </row>
    <row r="162">
      <c r="A162" t="inlineStr">
        <is>
          <t>COM</t>
        </is>
      </c>
      <c r="B162" t="inlineStr">
        <is>
          <t>Outdoor Remodel - Decks</t>
        </is>
      </c>
      <c r="C162" t="inlineStr">
        <is>
          <t>Deck - Pressure-Treated, Built New</t>
        </is>
      </c>
      <c r="D162" t="inlineStr">
        <is>
          <t>Sq Ft</t>
        </is>
      </c>
      <c r="E162" s="6" t="n">
        <v>64</v>
      </c>
      <c r="F162" s="6" t="n">
        <v>31.81</v>
      </c>
      <c r="G162" s="7">
        <f>IF(E162=0,0,(E162-F162)/E162)</f>
        <v/>
      </c>
      <c r="H162" s="14" t="n">
        <v>0.1484375</v>
      </c>
      <c r="I162" t="inlineStr">
        <is>
          <t>New PT deck: footings, framing, joist tape, decking and hardware. Railing and stairs separate.</t>
        </is>
      </c>
    </row>
    <row r="163">
      <c r="A163" t="inlineStr">
        <is>
          <t>COM</t>
        </is>
      </c>
      <c r="B163" t="inlineStr">
        <is>
          <t>Outdoor Remodel - Decks</t>
        </is>
      </c>
      <c r="C163" t="inlineStr">
        <is>
          <t>Deck - Composite Decking Install (labor)</t>
        </is>
      </c>
      <c r="D163" t="inlineStr">
        <is>
          <t>Sq Ft</t>
        </is>
      </c>
      <c r="E163" s="6" t="n">
        <v>57</v>
      </c>
      <c r="F163" s="6" t="n">
        <v>28.03</v>
      </c>
      <c r="G163" s="7">
        <f>IF(E163=0,0,(E163-F163)/E163)</f>
        <v/>
      </c>
      <c r="H163" s="14" t="n">
        <v>0.03508771929824561</v>
      </c>
      <c r="I163" t="inlineStr">
        <is>
          <t>Install composite decking with hidden fasteners over new or existing framing. Composite via Materials line.</t>
        </is>
      </c>
    </row>
    <row r="164">
      <c r="A164" t="inlineStr">
        <is>
          <t>COM</t>
        </is>
      </c>
      <c r="B164" t="inlineStr">
        <is>
          <t>Outdoor Remodel - Decks</t>
        </is>
      </c>
      <c r="C164" t="inlineStr">
        <is>
          <t>Deck Board Replacement</t>
        </is>
      </c>
      <c r="D164" t="inlineStr">
        <is>
          <t>Sq Ft</t>
        </is>
      </c>
      <c r="E164" s="6" t="n">
        <v>30</v>
      </c>
      <c r="F164" s="6" t="n">
        <v>14.66</v>
      </c>
      <c r="G164" s="7">
        <f>IF(E164=0,0,(E164-F164)/E164)</f>
        <v/>
      </c>
      <c r="H164" s="14" t="n">
        <v>0.1166666666666667</v>
      </c>
      <c r="I164" t="inlineStr">
        <is>
          <t>Remove and replace PT deck boards, re-fasten with coated screws.</t>
        </is>
      </c>
    </row>
    <row r="165">
      <c r="A165" t="inlineStr">
        <is>
          <t>COM</t>
        </is>
      </c>
      <c r="B165" t="inlineStr">
        <is>
          <t>Outdoor Remodel - Decks</t>
        </is>
      </c>
      <c r="C165" t="inlineStr">
        <is>
          <t>Deck Railing - Pressure-Treated</t>
        </is>
      </c>
      <c r="D165" t="inlineStr">
        <is>
          <t>Lin Ft</t>
        </is>
      </c>
      <c r="E165" s="6" t="n">
        <v>126</v>
      </c>
      <c r="F165" s="6" t="n">
        <v>62.62</v>
      </c>
      <c r="G165" s="7">
        <f>IF(E165=0,0,(E165-F165)/E165)</f>
        <v/>
      </c>
      <c r="H165" s="14" t="n">
        <v>0.1428571428571428</v>
      </c>
      <c r="I165" t="inlineStr">
        <is>
          <t>Supply and install PT railing with 2x2 balusters, code height.</t>
        </is>
      </c>
    </row>
    <row r="166">
      <c r="A166" t="inlineStr">
        <is>
          <t>COM</t>
        </is>
      </c>
      <c r="B166" t="inlineStr">
        <is>
          <t>Outdoor Remodel - Decks</t>
        </is>
      </c>
      <c r="C166" t="inlineStr">
        <is>
          <t>Deck Stairs - Per Step</t>
        </is>
      </c>
      <c r="D166" t="inlineStr">
        <is>
          <t>Each</t>
        </is>
      </c>
      <c r="E166" s="6" t="n">
        <v>305</v>
      </c>
      <c r="F166" s="6" t="n">
        <v>151.56</v>
      </c>
      <c r="G166" s="7">
        <f>IF(E166=0,0,(E166-F166)/E166)</f>
        <v/>
      </c>
      <c r="H166" s="14" t="n">
        <v>0.1311475409836066</v>
      </c>
      <c r="I166" t="inlineStr">
        <is>
          <t>Supply and build PT stair step (stringers, tread, riser) up to 4' wide.</t>
        </is>
      </c>
    </row>
    <row r="167">
      <c r="A167" t="inlineStr">
        <is>
          <t>COM</t>
        </is>
      </c>
      <c r="B167" t="inlineStr">
        <is>
          <t>Outdoor Remodel - Decks</t>
        </is>
      </c>
      <c r="C167" t="inlineStr">
        <is>
          <t>Deck Tear-Off &amp; Removal</t>
        </is>
      </c>
      <c r="D167" t="inlineStr">
        <is>
          <t>Sq Ft</t>
        </is>
      </c>
      <c r="E167" s="6" t="n">
        <v>12.2</v>
      </c>
      <c r="F167" s="6" t="n">
        <v>6.05</v>
      </c>
      <c r="G167" s="7">
        <f>IF(E167=0,0,(E167-F167)/E167)</f>
        <v/>
      </c>
      <c r="H167" s="14" t="n">
        <v>0.00819672131147541</v>
      </c>
      <c r="I167" t="inlineStr">
        <is>
          <t>Demo existing deck and load debris. Dumpster billed separately.</t>
        </is>
      </c>
    </row>
    <row r="168">
      <c r="A168" t="inlineStr">
        <is>
          <t>COM</t>
        </is>
      </c>
      <c r="B168" t="inlineStr">
        <is>
          <t>Outdoor Remodel - Decks</t>
        </is>
      </c>
      <c r="C168" t="inlineStr">
        <is>
          <t>Deck Wash &amp; Seal</t>
        </is>
      </c>
      <c r="D168" t="inlineStr">
        <is>
          <t>Sq Ft</t>
        </is>
      </c>
      <c r="E168" s="6" t="n">
        <v>5</v>
      </c>
      <c r="F168" s="6" t="n">
        <v>2.48</v>
      </c>
      <c r="G168" s="7">
        <f>IF(E168=0,0,(E168-F168)/E168)</f>
        <v/>
      </c>
      <c r="H168" s="14" t="n">
        <v>0.05</v>
      </c>
      <c r="I168" t="inlineStr">
        <is>
          <t>Pressure wash, brighten and apply penetrating stain/sealer.</t>
        </is>
      </c>
    </row>
    <row r="169">
      <c r="A169" t="inlineStr">
        <is>
          <t>COM</t>
        </is>
      </c>
      <c r="B169" t="inlineStr">
        <is>
          <t>Outdoor Remodel - Decks</t>
        </is>
      </c>
      <c r="C169" t="inlineStr">
        <is>
          <t>Pergola - PT 10x12</t>
        </is>
      </c>
      <c r="D169" t="inlineStr">
        <is>
          <t>Each</t>
        </is>
      </c>
      <c r="E169" s="6" t="n">
        <v>6000</v>
      </c>
      <c r="F169" s="6" t="n">
        <v>2985</v>
      </c>
      <c r="G169" s="7">
        <f>IF(E169=0,0,(E169-F169)/E169)</f>
        <v/>
      </c>
      <c r="H169" s="14" t="n">
        <v>0.2</v>
      </c>
      <c r="I169" t="inlineStr">
        <is>
          <t>Build 10'x12' pressure-treated pergola on footings.</t>
        </is>
      </c>
    </row>
    <row r="170">
      <c r="A170" t="inlineStr">
        <is>
          <t>COM</t>
        </is>
      </c>
      <c r="B170" t="inlineStr">
        <is>
          <t>Outdoor Remodel - Fencing</t>
        </is>
      </c>
      <c r="C170" t="inlineStr">
        <is>
          <t>Fence - Wood Privacy 6' (supply &amp; install)</t>
        </is>
      </c>
      <c r="D170" t="inlineStr">
        <is>
          <t>Lin Ft</t>
        </is>
      </c>
      <c r="E170" s="6" t="n">
        <v>82</v>
      </c>
      <c r="F170" s="6" t="n">
        <v>40.59</v>
      </c>
      <c r="G170" s="7">
        <f>IF(E170=0,0,(E170-F170)/E170)</f>
        <v/>
      </c>
      <c r="H170" s="14" t="n">
        <v>0.2682926829268293</v>
      </c>
      <c r="I170" t="inlineStr">
        <is>
          <t>Supply and install 6' PT privacy fence, posts set in concrete.</t>
        </is>
      </c>
    </row>
    <row r="171">
      <c r="A171" t="inlineStr">
        <is>
          <t>COM</t>
        </is>
      </c>
      <c r="B171" t="inlineStr">
        <is>
          <t>Outdoor Remodel - Fencing</t>
        </is>
      </c>
      <c r="C171" t="inlineStr">
        <is>
          <t>Fence Post - Replace</t>
        </is>
      </c>
      <c r="D171" t="inlineStr">
        <is>
          <t>Each</t>
        </is>
      </c>
      <c r="E171" s="6" t="n">
        <v>390</v>
      </c>
      <c r="F171" s="6" t="n">
        <v>193.75</v>
      </c>
      <c r="G171" s="7">
        <f>IF(E171=0,0,(E171-F171)/E171)</f>
        <v/>
      </c>
      <c r="H171" s="14" t="n">
        <v>0.1153846153846154</v>
      </c>
      <c r="I171" t="inlineStr">
        <is>
          <t>Dig out failed post and set new 4x4 PT post in concrete.</t>
        </is>
      </c>
    </row>
    <row r="172">
      <c r="A172" t="inlineStr">
        <is>
          <t>COM</t>
        </is>
      </c>
      <c r="B172" t="inlineStr">
        <is>
          <t>Outdoor Remodel - Fencing</t>
        </is>
      </c>
      <c r="C172" t="inlineStr">
        <is>
          <t>Fence Gate - Build &amp; Hang</t>
        </is>
      </c>
      <c r="D172" t="inlineStr">
        <is>
          <t>Each</t>
        </is>
      </c>
      <c r="E172" s="6" t="n">
        <v>900</v>
      </c>
      <c r="F172" s="6" t="n">
        <v>447.5</v>
      </c>
      <c r="G172" s="7">
        <f>IF(E172=0,0,(E172-F172)/E172)</f>
        <v/>
      </c>
      <c r="H172" s="14" t="n">
        <v>0.1666666666666667</v>
      </c>
      <c r="I172" t="inlineStr">
        <is>
          <t>Build and hang 4' wood gate with hardware and latch.</t>
        </is>
      </c>
    </row>
    <row r="173">
      <c r="A173" t="inlineStr">
        <is>
          <t>COM</t>
        </is>
      </c>
      <c r="B173" t="inlineStr">
        <is>
          <t>Outdoor Remodel - Exterior Carpentry</t>
        </is>
      </c>
      <c r="C173" t="inlineStr">
        <is>
          <t>Exterior Trim / Fascia Rot Repair</t>
        </is>
      </c>
      <c r="D173" t="inlineStr">
        <is>
          <t>Lin Ft</t>
        </is>
      </c>
      <c r="E173" s="6" t="n">
        <v>55</v>
      </c>
      <c r="F173" s="6" t="n">
        <v>27.31</v>
      </c>
      <c r="G173" s="7">
        <f>IF(E173=0,0,(E173-F173)/E173)</f>
        <v/>
      </c>
      <c r="H173" s="14" t="n">
        <v>0.09090909090909091</v>
      </c>
      <c r="I173" t="inlineStr">
        <is>
          <t>Remove rotted trim/fascia and replace with PVC or primed wood, ready for paint.</t>
        </is>
      </c>
    </row>
    <row r="174">
      <c r="A174" t="inlineStr">
        <is>
          <t>COM</t>
        </is>
      </c>
      <c r="B174" t="inlineStr">
        <is>
          <t>Outdoor Remodel - Exterior Carpentry</t>
        </is>
      </c>
      <c r="C174" t="inlineStr">
        <is>
          <t>Siding Repair</t>
        </is>
      </c>
      <c r="D174" t="inlineStr">
        <is>
          <t>Sq Ft</t>
        </is>
      </c>
      <c r="E174" s="6" t="n">
        <v>29</v>
      </c>
      <c r="F174" s="6" t="n">
        <v>14.16</v>
      </c>
      <c r="G174" s="7">
        <f>IF(E174=0,0,(E174-F174)/E174)</f>
        <v/>
      </c>
      <c r="H174" s="14" t="n">
        <v>0.103448275862069</v>
      </c>
      <c r="I174" t="inlineStr">
        <is>
          <t>Remove and replace damaged siding sections to match as close as possible.</t>
        </is>
      </c>
    </row>
    <row r="175">
      <c r="A175" t="inlineStr">
        <is>
          <t>COM</t>
        </is>
      </c>
      <c r="B175" t="inlineStr">
        <is>
          <t>Outdoor Remodel - Exterior Carpentry</t>
        </is>
      </c>
      <c r="C175" t="inlineStr">
        <is>
          <t>Vinyl Siding - Install (per square)</t>
        </is>
      </c>
      <c r="D175" t="inlineStr">
        <is>
          <t>Square</t>
        </is>
      </c>
      <c r="E175" s="6" t="n">
        <v>1260</v>
      </c>
      <c r="F175" s="6" t="n">
        <v>626.25</v>
      </c>
      <c r="G175" s="7">
        <f>IF(E175=0,0,(E175-F175)/E175)</f>
        <v/>
      </c>
      <c r="H175" s="14" t="n">
        <v>0.1428571428571428</v>
      </c>
      <c r="I175" t="inlineStr">
        <is>
          <t>Install vinyl siding per 100 sf incl. house wrap, J-channel and trim. Siding via Materials line.</t>
        </is>
      </c>
    </row>
    <row r="176">
      <c r="A176" t="inlineStr">
        <is>
          <t>COM</t>
        </is>
      </c>
      <c r="B176" t="inlineStr">
        <is>
          <t>Outdoor Remodel - Exterior Carpentry</t>
        </is>
      </c>
      <c r="C176" t="inlineStr">
        <is>
          <t>Exterior Door - Install Only</t>
        </is>
      </c>
      <c r="D176" t="inlineStr">
        <is>
          <t>Each</t>
        </is>
      </c>
      <c r="E176" s="6" t="n">
        <v>840</v>
      </c>
      <c r="F176" s="6" t="n">
        <v>416.88</v>
      </c>
      <c r="G176" s="7">
        <f>IF(E176=0,0,(E176-F176)/E176)</f>
        <v/>
      </c>
      <c r="H176" s="14" t="n">
        <v>0.05357142857142857</v>
      </c>
      <c r="I176" t="inlineStr">
        <is>
          <t>Install prehung exterior door, flash, insulate, trim. Door via Materials line.</t>
        </is>
      </c>
    </row>
    <row r="177">
      <c r="A177" t="inlineStr">
        <is>
          <t>COM</t>
        </is>
      </c>
      <c r="B177" t="inlineStr">
        <is>
          <t>Outdoor Remodel - Exterior Carpentry</t>
        </is>
      </c>
      <c r="C177" t="inlineStr">
        <is>
          <t>Replacement Window - Install Only</t>
        </is>
      </c>
      <c r="D177" t="inlineStr">
        <is>
          <t>Each</t>
        </is>
      </c>
      <c r="E177" s="6" t="n">
        <v>425</v>
      </c>
      <c r="F177" s="6" t="n">
        <v>210.94</v>
      </c>
      <c r="G177" s="7">
        <f>IF(E177=0,0,(E177-F177)/E177)</f>
        <v/>
      </c>
      <c r="H177" s="14" t="n">
        <v>0.05882352941176471</v>
      </c>
      <c r="I177" t="inlineStr">
        <is>
          <t>Install insert replacement window, insulate, caulk, interior trim. Window via Materials line.</t>
        </is>
      </c>
    </row>
    <row r="178">
      <c r="A178" t="inlineStr">
        <is>
          <t>COM</t>
        </is>
      </c>
      <c r="B178" t="inlineStr">
        <is>
          <t>Outdoor Remodel - Hardscape</t>
        </is>
      </c>
      <c r="C178" t="inlineStr">
        <is>
          <t>Paver Patio / Walkway</t>
        </is>
      </c>
      <c r="D178" t="inlineStr">
        <is>
          <t>Sq Ft</t>
        </is>
      </c>
      <c r="E178" s="6" t="n">
        <v>50</v>
      </c>
      <c r="F178" s="6" t="n">
        <v>24.59</v>
      </c>
      <c r="G178" s="7">
        <f>IF(E178=0,0,(E178-F178)/E178)</f>
        <v/>
      </c>
      <c r="H178" s="14" t="n">
        <v>0.12</v>
      </c>
      <c r="I178" t="inlineStr">
        <is>
          <t>Excavate, compacted base, sand, standard pavers and polymeric sand.</t>
        </is>
      </c>
    </row>
    <row r="179">
      <c r="A179" t="inlineStr">
        <is>
          <t>COM</t>
        </is>
      </c>
      <c r="B179" t="inlineStr">
        <is>
          <t>Outdoor Remodel - Hardscape</t>
        </is>
      </c>
      <c r="C179" t="inlineStr">
        <is>
          <t>Segmental Retaining Wall</t>
        </is>
      </c>
      <c r="D179" t="inlineStr">
        <is>
          <t>Sq Ft</t>
        </is>
      </c>
      <c r="E179" s="6" t="n">
        <v>88</v>
      </c>
      <c r="F179" s="6" t="n">
        <v>43.75</v>
      </c>
      <c r="G179" s="7">
        <f>IF(E179=0,0,(E179-F179)/E179)</f>
        <v/>
      </c>
      <c r="H179" s="14" t="n">
        <v>0.1590909090909091</v>
      </c>
      <c r="I179" t="inlineStr">
        <is>
          <t>Block retaining wall per sf of face, gravel base and drainage, under 3' tall.</t>
        </is>
      </c>
    </row>
    <row r="180">
      <c r="A180" t="inlineStr">
        <is>
          <t>COM</t>
        </is>
      </c>
      <c r="B180" t="inlineStr">
        <is>
          <t>Outdoor Remodel - Hardscape</t>
        </is>
      </c>
      <c r="C180" t="inlineStr">
        <is>
          <t>Grading / Topsoil &amp; Seed</t>
        </is>
      </c>
      <c r="D180" t="inlineStr">
        <is>
          <t>Sq Ft</t>
        </is>
      </c>
      <c r="E180" s="6" t="n">
        <v>3.3</v>
      </c>
      <c r="F180" s="6" t="n">
        <v>1.64</v>
      </c>
      <c r="G180" s="7">
        <f>IF(E180=0,0,(E180-F180)/E180)</f>
        <v/>
      </c>
      <c r="H180" s="14" t="n">
        <v>0.04545454545454546</v>
      </c>
      <c r="I180" t="inlineStr">
        <is>
          <t>Rough grade, topsoil and seed/straw disturbed areas.</t>
        </is>
      </c>
    </row>
    <row r="181">
      <c r="A181" t="inlineStr">
        <is>
          <t>COM</t>
        </is>
      </c>
      <c r="B181" t="inlineStr">
        <is>
          <t>Concrete</t>
        </is>
      </c>
      <c r="C181" t="inlineStr">
        <is>
          <t>Concrete Patio / Slab - 4" Broom Finish</t>
        </is>
      </c>
      <c r="D181" t="inlineStr">
        <is>
          <t>Sq Ft</t>
        </is>
      </c>
      <c r="E181" s="6" t="n">
        <v>17.1</v>
      </c>
      <c r="F181" s="6" t="n">
        <v>9.720000000000001</v>
      </c>
      <c r="G181" s="7">
        <f>IF(E181=0,0,(E181-F181)/E181)</f>
        <v/>
      </c>
      <c r="H181" s="14" t="n">
        <v>0</v>
      </c>
      <c r="I181" t="inlineStr">
        <is>
          <t>4" 3500 PSI slab on compacted stone, wire mesh, control joints, broom finish.</t>
        </is>
      </c>
    </row>
    <row r="182">
      <c r="A182" t="inlineStr">
        <is>
          <t>COM</t>
        </is>
      </c>
      <c r="B182" t="inlineStr">
        <is>
          <t>Concrete</t>
        </is>
      </c>
      <c r="C182" t="inlineStr">
        <is>
          <t>Concrete Driveway - 5" w/ Rebar</t>
        </is>
      </c>
      <c r="D182" t="inlineStr">
        <is>
          <t>Sq Ft</t>
        </is>
      </c>
      <c r="E182" s="6" t="n">
        <v>19.95</v>
      </c>
      <c r="F182" s="6" t="n">
        <v>11.34</v>
      </c>
      <c r="G182" s="7">
        <f>IF(E182=0,0,(E182-F182)/E182)</f>
        <v/>
      </c>
      <c r="H182" s="14" t="n">
        <v>0</v>
      </c>
      <c r="I182" t="inlineStr">
        <is>
          <t>5" 4000 PSI driveway with rebar/fiber, compacted base, broom finish.</t>
        </is>
      </c>
    </row>
    <row r="183">
      <c r="A183" t="inlineStr">
        <is>
          <t>COM</t>
        </is>
      </c>
      <c r="B183" t="inlineStr">
        <is>
          <t>Concrete</t>
        </is>
      </c>
      <c r="C183" t="inlineStr">
        <is>
          <t>Concrete Sidewalk - 4' Wide</t>
        </is>
      </c>
      <c r="D183" t="inlineStr">
        <is>
          <t>Sq Ft</t>
        </is>
      </c>
      <c r="E183" s="6" t="n">
        <v>19</v>
      </c>
      <c r="F183" s="6" t="n">
        <v>10.8</v>
      </c>
      <c r="G183" s="7">
        <f>IF(E183=0,0,(E183-F183)/E183)</f>
        <v/>
      </c>
      <c r="H183" s="14" t="n">
        <v>0</v>
      </c>
      <c r="I183" t="inlineStr">
        <is>
          <t>4" sidewalk on compacted base, tooled joints, broom finish.</t>
        </is>
      </c>
    </row>
    <row r="184">
      <c r="A184" t="inlineStr">
        <is>
          <t>COM</t>
        </is>
      </c>
      <c r="B184" t="inlineStr">
        <is>
          <t>Concrete</t>
        </is>
      </c>
      <c r="C184" t="inlineStr">
        <is>
          <t>Stamped / Colored Concrete</t>
        </is>
      </c>
      <c r="D184" t="inlineStr">
        <is>
          <t>Sq Ft</t>
        </is>
      </c>
      <c r="E184" s="6" t="n">
        <v>29</v>
      </c>
      <c r="F184" s="6" t="n">
        <v>16.2</v>
      </c>
      <c r="G184" s="7">
        <f>IF(E184=0,0,(E184-F184)/E184)</f>
        <v/>
      </c>
      <c r="H184" s="14" t="n">
        <v>0</v>
      </c>
      <c r="I184" t="inlineStr">
        <is>
          <t>4" slab with integral color, stamp pattern, release and sealer.</t>
        </is>
      </c>
    </row>
    <row r="185">
      <c r="A185" t="inlineStr">
        <is>
          <t>COM</t>
        </is>
      </c>
      <c r="B185" t="inlineStr">
        <is>
          <t>Concrete</t>
        </is>
      </c>
      <c r="C185" t="inlineStr">
        <is>
          <t>Exposed Aggregate Concrete</t>
        </is>
      </c>
      <c r="D185" t="inlineStr">
        <is>
          <t>Sq Ft</t>
        </is>
      </c>
      <c r="E185" s="6" t="n">
        <v>25</v>
      </c>
      <c r="F185" s="6" t="n">
        <v>14.04</v>
      </c>
      <c r="G185" s="7">
        <f>IF(E185=0,0,(E185-F185)/E185)</f>
        <v/>
      </c>
      <c r="H185" s="14" t="n">
        <v>0</v>
      </c>
      <c r="I185" t="inlineStr">
        <is>
          <t>4" exposed aggregate slab, washed finish and sealer.</t>
        </is>
      </c>
    </row>
    <row r="186">
      <c r="A186" t="inlineStr">
        <is>
          <t>COM</t>
        </is>
      </c>
      <c r="B186" t="inlineStr">
        <is>
          <t>Concrete</t>
        </is>
      </c>
      <c r="C186" t="inlineStr">
        <is>
          <t>Concrete Steps - Per Step (up to 4' wide)</t>
        </is>
      </c>
      <c r="D186" t="inlineStr">
        <is>
          <t>Each</t>
        </is>
      </c>
      <c r="E186" s="6" t="n">
        <v>665</v>
      </c>
      <c r="F186" s="6" t="n">
        <v>378</v>
      </c>
      <c r="G186" s="7">
        <f>IF(E186=0,0,(E186-F186)/E186)</f>
        <v/>
      </c>
      <c r="H186" s="14" t="n">
        <v>0</v>
      </c>
      <c r="I186" t="inlineStr">
        <is>
          <t>Formed and poured concrete step with rebar, broom finish.</t>
        </is>
      </c>
    </row>
    <row r="187">
      <c r="A187" t="inlineStr">
        <is>
          <t>COM</t>
        </is>
      </c>
      <c r="B187" t="inlineStr">
        <is>
          <t>Concrete</t>
        </is>
      </c>
      <c r="C187" t="inlineStr">
        <is>
          <t>Concrete Footing (12"x24")</t>
        </is>
      </c>
      <c r="D187" t="inlineStr">
        <is>
          <t>Lin Ft</t>
        </is>
      </c>
      <c r="E187" s="6" t="n">
        <v>86</v>
      </c>
      <c r="F187" s="6" t="n">
        <v>48.6</v>
      </c>
      <c r="G187" s="7">
        <f>IF(E187=0,0,(E187-F187)/E187)</f>
        <v/>
      </c>
      <c r="H187" s="14" t="n">
        <v>0</v>
      </c>
      <c r="I187" t="inlineStr">
        <is>
          <t>Excavate and pour reinforced concrete footing.</t>
        </is>
      </c>
    </row>
    <row r="188">
      <c r="A188" t="inlineStr">
        <is>
          <t>COM</t>
        </is>
      </c>
      <c r="B188" t="inlineStr">
        <is>
          <t>Concrete</t>
        </is>
      </c>
      <c r="C188" t="inlineStr">
        <is>
          <t>Concrete Pad - AC / Shed / Generator</t>
        </is>
      </c>
      <c r="D188" t="inlineStr">
        <is>
          <t>Sq Ft</t>
        </is>
      </c>
      <c r="E188" s="6" t="n">
        <v>21</v>
      </c>
      <c r="F188" s="6" t="n">
        <v>11.88</v>
      </c>
      <c r="G188" s="7">
        <f>IF(E188=0,0,(E188-F188)/E188)</f>
        <v/>
      </c>
      <c r="H188" s="14" t="n">
        <v>0</v>
      </c>
      <c r="I188" t="inlineStr">
        <is>
          <t>Small 4" pad on compacted stone (small-job premium included).</t>
        </is>
      </c>
    </row>
    <row r="189">
      <c r="A189" t="inlineStr">
        <is>
          <t>COM</t>
        </is>
      </c>
      <c r="B189" t="inlineStr">
        <is>
          <t>Concrete</t>
        </is>
      </c>
      <c r="C189" t="inlineStr">
        <is>
          <t>Concrete Demo &amp; Removal</t>
        </is>
      </c>
      <c r="D189" t="inlineStr">
        <is>
          <t>Sq Ft</t>
        </is>
      </c>
      <c r="E189" s="6" t="n">
        <v>7.6</v>
      </c>
      <c r="F189" s="6" t="n">
        <v>4.32</v>
      </c>
      <c r="G189" s="7">
        <f>IF(E189=0,0,(E189-F189)/E189)</f>
        <v/>
      </c>
      <c r="H189" s="14" t="n">
        <v>0</v>
      </c>
      <c r="I189" t="inlineStr">
        <is>
          <t>Break out and haul away existing concrete up to 4" thick.</t>
        </is>
      </c>
    </row>
    <row r="190">
      <c r="A190" t="inlineStr">
        <is>
          <t>COM</t>
        </is>
      </c>
      <c r="B190" t="inlineStr">
        <is>
          <t>Concrete</t>
        </is>
      </c>
      <c r="C190" t="inlineStr">
        <is>
          <t>Concrete Pump Truck</t>
        </is>
      </c>
      <c r="D190" t="inlineStr">
        <is>
          <t>Each</t>
        </is>
      </c>
      <c r="E190" s="6" t="n">
        <v>1235</v>
      </c>
      <c r="F190" s="6" t="n">
        <v>702</v>
      </c>
      <c r="G190" s="7">
        <f>IF(E190=0,0,(E190-F190)/E190)</f>
        <v/>
      </c>
      <c r="H190" s="14" t="n">
        <v>0</v>
      </c>
      <c r="I190" t="inlineStr">
        <is>
          <t>Line or boom pump when truck access is not available.</t>
        </is>
      </c>
    </row>
    <row r="191">
      <c r="A191" t="inlineStr">
        <is>
          <t>COM</t>
        </is>
      </c>
      <c r="B191" t="inlineStr">
        <is>
          <t>Concrete</t>
        </is>
      </c>
      <c r="C191" t="inlineStr">
        <is>
          <t>Concrete Small Job Minimum</t>
        </is>
      </c>
      <c r="D191" t="inlineStr">
        <is>
          <t>Each</t>
        </is>
      </c>
      <c r="E191" s="6" t="n">
        <v>2850</v>
      </c>
      <c r="F191" s="6" t="n">
        <v>1620</v>
      </c>
      <c r="G191" s="7">
        <f>IF(E191=0,0,(E191-F191)/E191)</f>
        <v/>
      </c>
      <c r="H191" s="14" t="n">
        <v>0</v>
      </c>
      <c r="I191" t="inlineStr">
        <is>
          <t>Minimum charge for any concrete pour under ~100 sf.</t>
        </is>
      </c>
    </row>
    <row r="192">
      <c r="A192" t="inlineStr">
        <is>
          <t>COM</t>
        </is>
      </c>
      <c r="B192" t="inlineStr">
        <is>
          <t>Concrete</t>
        </is>
      </c>
      <c r="C192" t="inlineStr">
        <is>
          <t>Concrete Crack Repair</t>
        </is>
      </c>
      <c r="D192" t="inlineStr">
        <is>
          <t>Lin Ft</t>
        </is>
      </c>
      <c r="E192" s="6" t="n">
        <v>9</v>
      </c>
      <c r="F192" s="6" t="n">
        <v>4.47</v>
      </c>
      <c r="G192" s="7">
        <f>IF(E192=0,0,(E192-F192)/E192)</f>
        <v/>
      </c>
      <c r="H192" s="14" t="n">
        <v>0.08333333333333333</v>
      </c>
      <c r="I192" t="inlineStr">
        <is>
          <t>Rout, clean and fill cracks with flexible polyurethane sealant.</t>
        </is>
      </c>
    </row>
    <row r="193">
      <c r="A193" t="inlineStr">
        <is>
          <t>COM</t>
        </is>
      </c>
      <c r="B193" t="inlineStr">
        <is>
          <t>Concrete</t>
        </is>
      </c>
      <c r="C193" t="inlineStr">
        <is>
          <t>Concrete Clean &amp; Seal</t>
        </is>
      </c>
      <c r="D193" t="inlineStr">
        <is>
          <t>Sq Ft</t>
        </is>
      </c>
      <c r="E193" s="6" t="n">
        <v>2.1</v>
      </c>
      <c r="F193" s="6" t="n">
        <v>1.04</v>
      </c>
      <c r="G193" s="7">
        <f>IF(E193=0,0,(E193-F193)/E193)</f>
        <v/>
      </c>
      <c r="H193" s="14" t="n">
        <v>0.07142857142857142</v>
      </c>
      <c r="I193" t="inlineStr">
        <is>
          <t>Pressure wash and apply penetrating or acrylic sealer.</t>
        </is>
      </c>
    </row>
    <row r="194">
      <c r="A194" t="inlineStr">
        <is>
          <t>COM</t>
        </is>
      </c>
      <c r="B194" t="inlineStr">
        <is>
          <t>Terms &amp; Fees</t>
        </is>
      </c>
      <c r="C194" t="inlineStr">
        <is>
          <t>Net 30 Payment Terms Adjustment (per $100)</t>
        </is>
      </c>
      <c r="D194" t="inlineStr">
        <is>
          <t>$100</t>
        </is>
      </c>
      <c r="E194" s="6" t="n">
        <v>5</v>
      </c>
      <c r="F194" s="6" t="n">
        <v>0</v>
      </c>
      <c r="G194" s="7">
        <f>IF(E194=0,0,(E194-F194)/E194)</f>
        <v/>
      </c>
      <c r="H194" s="14" t="n">
        <v>0</v>
      </c>
      <c r="I194" t="inlineStr">
        <is>
          <t>Net 30 invoice terms add 5% to the contract. Qty = invoice subtotal / 100 (e.g. $24,000 = qty 240). Due-on-completion pricing does not include this line.</t>
        </is>
      </c>
    </row>
    <row r="195">
      <c r="A195" t="inlineStr">
        <is>
          <t>COM</t>
        </is>
      </c>
      <c r="B195" t="inlineStr">
        <is>
          <t>Terms &amp; Fees</t>
        </is>
      </c>
      <c r="C195" t="inlineStr">
        <is>
          <t>Net 60 Payment Terms Adjustment (per $100)</t>
        </is>
      </c>
      <c r="D195" t="inlineStr">
        <is>
          <t>$100</t>
        </is>
      </c>
      <c r="E195" s="6" t="n">
        <v>8</v>
      </c>
      <c r="F195" s="6" t="n">
        <v>0</v>
      </c>
      <c r="G195" s="7">
        <f>IF(E195=0,0,(E195-F195)/E195)</f>
        <v/>
      </c>
      <c r="H195" s="14" t="n">
        <v>0</v>
      </c>
      <c r="I195" t="inlineStr">
        <is>
          <t>Net 60 invoice terms add 8% to the contract. Qty = invoice subtotal / 100.</t>
        </is>
      </c>
    </row>
    <row r="196">
      <c r="A196" t="inlineStr">
        <is>
          <t>COM</t>
        </is>
      </c>
      <c r="B196" t="inlineStr">
        <is>
          <t>Terms &amp; Fees</t>
        </is>
      </c>
      <c r="C196" t="inlineStr">
        <is>
          <t>Philadelphia Job Logistics (per day)</t>
        </is>
      </c>
      <c r="D196" t="inlineStr">
        <is>
          <t>Day</t>
        </is>
      </c>
      <c r="E196" s="6" t="n">
        <v>195</v>
      </c>
      <c r="F196" s="6" t="n">
        <v>95</v>
      </c>
      <c r="G196" s="7">
        <f>IF(E196=0,0,(E196-F196)/E196)</f>
        <v/>
      </c>
      <c r="H196" s="14" t="n">
        <v>0</v>
      </c>
      <c r="I196" t="inlineStr">
        <is>
          <t>City parking, loading-zone/meter fees, tolls and extended travel for Philadelphia jobs. Qty = site days.</t>
        </is>
      </c>
    </row>
    <row r="197">
      <c r="A197" t="inlineStr">
        <is>
          <t>COM</t>
        </is>
      </c>
      <c r="B197" t="inlineStr">
        <is>
          <t>Terms &amp; Fees</t>
        </is>
      </c>
      <c r="C197" t="inlineStr">
        <is>
          <t>Commercial Mobilization</t>
        </is>
      </c>
      <c r="D197" t="inlineStr">
        <is>
          <t>Each</t>
        </is>
      </c>
      <c r="E197" s="6" t="n">
        <v>710</v>
      </c>
      <c r="F197" s="6" t="n">
        <v>329.38</v>
      </c>
      <c r="G197" s="7">
        <f>IF(E197=0,0,(E197-F197)/E197)</f>
        <v/>
      </c>
      <c r="H197" s="14" t="n">
        <v>0</v>
      </c>
      <c r="I197" t="inlineStr">
        <is>
          <t>Mobilize crew, tools and site protection; site orientation and safety setup.</t>
        </is>
      </c>
    </row>
    <row r="198">
      <c r="A198" t="inlineStr">
        <is>
          <t>COM</t>
        </is>
      </c>
      <c r="B198" t="inlineStr">
        <is>
          <t>Terms &amp; Fees</t>
        </is>
      </c>
      <c r="C198" t="inlineStr">
        <is>
          <t>COI / Additional Insured &amp; Vendor Compliance</t>
        </is>
      </c>
      <c r="D198" t="inlineStr">
        <is>
          <t>Each</t>
        </is>
      </c>
      <c r="E198" s="6" t="n">
        <v>175</v>
      </c>
      <c r="F198" s="6" t="n">
        <v>50</v>
      </c>
      <c r="G198" s="7">
        <f>IF(E198=0,0,(E198-F198)/E198)</f>
        <v/>
      </c>
      <c r="H198" s="14" t="n">
        <v>0</v>
      </c>
      <c r="I198" t="inlineStr">
        <is>
          <t>Certificate of insurance with additional insured / waiver of subrogation, vendor portal and W-9 setup.</t>
        </is>
      </c>
    </row>
    <row r="199">
      <c r="A199" t="inlineStr">
        <is>
          <t>COM</t>
        </is>
      </c>
      <c r="B199" t="inlineStr">
        <is>
          <t>Terms &amp; Fees</t>
        </is>
      </c>
      <c r="C199" t="inlineStr">
        <is>
          <t>After-Hours / Weekend Premium (per labor hr)</t>
        </is>
      </c>
      <c r="D199" t="inlineStr">
        <is>
          <t>Hour</t>
        </is>
      </c>
      <c r="E199" s="6" t="n">
        <v>75</v>
      </c>
      <c r="F199" s="6" t="n">
        <v>32.5</v>
      </c>
      <c r="G199" s="7">
        <f>IF(E199=0,0,(E199-F199)/E199)</f>
        <v/>
      </c>
      <c r="H199" s="14" t="n">
        <v>0</v>
      </c>
      <c r="I199" t="inlineStr">
        <is>
          <t>Added per labor hour for work outside 7am-5pm Mon-Fri at the client's request.</t>
        </is>
      </c>
    </row>
  </sheetData>
  <autoFilter ref="A1:I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2026-10-26T19:20:33Z</dcterms:created>
  <dcterms:modified xmlns:dcterms="http://purl.org/dc/terms/" xmlns:xsi="http://www.w3.org/2001/XMLSchema-instance" xsi:type="dcterms:W3CDTF">2026-10-26T19:20:33Z</dcterms:modified>
</cp:coreProperties>
</file>